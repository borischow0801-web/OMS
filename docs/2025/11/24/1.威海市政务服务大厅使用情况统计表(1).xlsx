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82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<sst xmlns="http://schemas.openxmlformats.org/spreadsheetml/2006/main" count="1033" uniqueCount="95">
  <si>
    <t>附件1</t>
  </si>
  <si>
    <t>政务服务大厅使用情况统计表</t>
  </si>
  <si>
    <t>填报部门：      威海市行政审批服务局、环翠区行政审批服务局             联系人：    魏方程              联系方式：0631-5170130</t>
  </si>
  <si>
    <r>
      <rPr>
        <b/>
        <sz val="18"/>
        <rFont val="宋体"/>
        <charset val="134"/>
      </rPr>
      <t>填表说明：</t>
    </r>
    <r>
      <rPr>
        <sz val="18"/>
        <rFont val="宋体"/>
        <charset val="134"/>
      </rPr>
      <t>1.大厅类型可下拉选择“新建”“改建”“租赁”；建设日期、启用日期统一为XXX年XX月。
          2.大厅投资费用按照大厅类型来进行填报：填写新建、改建的大厅的一次性投入费用；租赁的，填写大厅年租赁费用。
          3.划“\”部分为不需要填报的区域。
          4.本级“7+1”类政务服务事项总数、进驻政务服务中心事项总数、进驻政务服务中心部门总数等，市本级不需要填报，县区级需要填报；事项数（以子项为计数单位，下同）和部门数不包含垂管；
          5.建筑面积为政务服务场所总体面积；大厅实际使用面积为对外服务区域的面积。
          6.主、子功能区名称采用“聊城共识”文件中“布局”部分有关表述，其中主功能区名称不得修改，归类填写；子功能区名称各地可结合实际进行修改，没有相关子功能区的不需一一对应。
          7.每个子功能区按照横向依次填报：区域面积、窗口设置情况、窗口工作人员数、后台工作人员数（在功能区域内的设置后台的）、进驻事项数、进驻事项2024年办件量等要素。
          8.设备统计范围为：LED屏幕、取号机数量、智能机器人数量、窗口Pad数、自助服务等设备数量等。</t>
    </r>
  </si>
  <si>
    <t>指标
        内容
   填报
   单位</t>
  </si>
  <si>
    <t>政务服务大厅基本情况</t>
  </si>
  <si>
    <t>政务服务大厅对外服务区设置情况</t>
  </si>
  <si>
    <t>政务服务大厅设备使用情况</t>
  </si>
  <si>
    <t>大厅类型</t>
  </si>
  <si>
    <t>建设日期</t>
  </si>
  <si>
    <t>启用日期</t>
  </si>
  <si>
    <t>大厅投资费用（万元）</t>
  </si>
  <si>
    <t>2024年接待外地调研参观次数</t>
  </si>
  <si>
    <t>本级“7+1”类政务服务事项总数
（不含垂管部门）</t>
  </si>
  <si>
    <t>进驻政务服务中心事项总数</t>
  </si>
  <si>
    <t>进驻政务服务中心部门总数</t>
  </si>
  <si>
    <r>
      <rPr>
        <sz val="16"/>
        <color theme="1"/>
        <rFont val="黑体"/>
        <charset val="134"/>
      </rPr>
      <t>建筑面积（</t>
    </r>
    <r>
      <rPr>
        <sz val="16"/>
        <color theme="1"/>
        <rFont val="SimSun"/>
        <charset val="134"/>
      </rPr>
      <t>㎡</t>
    </r>
    <r>
      <rPr>
        <sz val="16"/>
        <color theme="1"/>
        <rFont val="黑体"/>
        <charset val="134"/>
      </rPr>
      <t>）</t>
    </r>
  </si>
  <si>
    <r>
      <rPr>
        <sz val="16"/>
        <color theme="1"/>
        <rFont val="黑体"/>
        <charset val="134"/>
      </rPr>
      <t>大厅实际使用面积（</t>
    </r>
    <r>
      <rPr>
        <sz val="16"/>
        <color theme="1"/>
        <rFont val="SimSun"/>
        <charset val="134"/>
      </rPr>
      <t>㎡</t>
    </r>
    <r>
      <rPr>
        <sz val="16"/>
        <color theme="1"/>
        <rFont val="黑体"/>
        <charset val="134"/>
      </rPr>
      <t>）</t>
    </r>
  </si>
  <si>
    <t>主功能区名称</t>
  </si>
  <si>
    <t>子功能区名称</t>
  </si>
  <si>
    <r>
      <rPr>
        <sz val="16"/>
        <color theme="1"/>
        <rFont val="黑体"/>
        <charset val="134"/>
      </rPr>
      <t>区域面积（</t>
    </r>
    <r>
      <rPr>
        <sz val="16"/>
        <color theme="1"/>
        <rFont val="SimSun"/>
        <charset val="134"/>
      </rPr>
      <t>㎡</t>
    </r>
    <r>
      <rPr>
        <sz val="16"/>
        <color theme="1"/>
        <rFont val="黑体"/>
        <charset val="134"/>
      </rPr>
      <t>）</t>
    </r>
  </si>
  <si>
    <t>窗口设置</t>
  </si>
  <si>
    <t>窗口工作人员数</t>
  </si>
  <si>
    <t>后台工作人员数</t>
  </si>
  <si>
    <t>进驻部门数</t>
  </si>
  <si>
    <t>进驻事项数</t>
  </si>
  <si>
    <t>进驻事项2025年办件量（线上线下都包括）</t>
  </si>
  <si>
    <t>设备总览</t>
  </si>
  <si>
    <t>LED屏</t>
  </si>
  <si>
    <t>取号机</t>
  </si>
  <si>
    <t>智能机器人</t>
  </si>
  <si>
    <t>窗口Pad</t>
  </si>
  <si>
    <t>自助服务设备</t>
  </si>
  <si>
    <t>线上办件量</t>
  </si>
  <si>
    <t>取号量</t>
  </si>
  <si>
    <t>线下办件量</t>
  </si>
  <si>
    <t>主动好评数</t>
  </si>
  <si>
    <t>主动差评数</t>
  </si>
  <si>
    <t>未评价数</t>
  </si>
  <si>
    <t>设备总数</t>
  </si>
  <si>
    <t>当前正常使用
的设备总数</t>
  </si>
  <si>
    <t>总数</t>
  </si>
  <si>
    <t>当前正常使用的屏幕数</t>
  </si>
  <si>
    <t>购置总费用（万元）</t>
  </si>
  <si>
    <t>取叫号屏幕情况</t>
  </si>
  <si>
    <t>10平方米以上屏幕情况</t>
  </si>
  <si>
    <t>当前正常使用
的取号机数</t>
  </si>
  <si>
    <t>当前正常使用
的智能机器人数</t>
  </si>
  <si>
    <t>当前正常使用
的pad数</t>
  </si>
  <si>
    <t>当前正常使用
的设备数</t>
  </si>
  <si>
    <t>窗口总数</t>
  </si>
  <si>
    <t>在用窗口数</t>
  </si>
  <si>
    <t>闲置窗口数</t>
  </si>
  <si>
    <t>潮汐窗口数</t>
  </si>
  <si>
    <t>购置费用</t>
  </si>
  <si>
    <r>
      <rPr>
        <sz val="16"/>
        <color theme="1"/>
        <rFont val="黑体"/>
        <charset val="134"/>
      </rPr>
      <t>总面积（</t>
    </r>
    <r>
      <rPr>
        <sz val="16"/>
        <color theme="1"/>
        <rFont val="SimSun"/>
        <charset val="134"/>
      </rPr>
      <t>㎡</t>
    </r>
    <r>
      <rPr>
        <sz val="16"/>
        <color theme="1"/>
        <rFont val="黑体"/>
        <charset val="134"/>
      </rPr>
      <t>）</t>
    </r>
  </si>
  <si>
    <r>
      <rPr>
        <sz val="16"/>
        <color theme="1"/>
        <rFont val="黑体"/>
        <charset val="134"/>
      </rPr>
      <t>最大屏幕面积（</t>
    </r>
    <r>
      <rPr>
        <sz val="16"/>
        <color theme="1"/>
        <rFont val="SimSun"/>
        <charset val="134"/>
      </rPr>
      <t>㎡</t>
    </r>
    <r>
      <rPr>
        <sz val="16"/>
        <color theme="1"/>
        <rFont val="黑体"/>
        <charset val="134"/>
      </rPr>
      <t>）</t>
    </r>
  </si>
  <si>
    <t>购置费用
 (万元)</t>
  </si>
  <si>
    <t>威海市</t>
  </si>
  <si>
    <t>租赁型</t>
  </si>
  <si>
    <t>政务服务区</t>
  </si>
  <si>
    <t>婚姻大厅</t>
  </si>
  <si>
    <t>\</t>
  </si>
  <si>
    <t>市场准入大厅</t>
  </si>
  <si>
    <t>税务大厅</t>
  </si>
  <si>
    <t>医保大厅</t>
  </si>
  <si>
    <t>人社大厅</t>
  </si>
  <si>
    <t>公安大厅</t>
  </si>
  <si>
    <t>出入境大厅</t>
  </si>
  <si>
    <t>不动产大厅</t>
  </si>
  <si>
    <t>公积金大厅</t>
  </si>
  <si>
    <t>交通工会大厅</t>
  </si>
  <si>
    <t>司法外事大厅</t>
  </si>
  <si>
    <t>投资建设大厅</t>
  </si>
  <si>
    <t>.......</t>
  </si>
  <si>
    <t>便民服务区</t>
  </si>
  <si>
    <t>政务公开区</t>
  </si>
  <si>
    <t>中介服务区</t>
  </si>
  <si>
    <t>金融服务区</t>
  </si>
  <si>
    <t>网上办事体验区</t>
  </si>
  <si>
    <t>自助服务区（24小时）</t>
  </si>
  <si>
    <t>文化休闲区</t>
  </si>
  <si>
    <t>公共资源交易区</t>
  </si>
  <si>
    <t>交易服务区</t>
  </si>
  <si>
    <t>开标区</t>
  </si>
  <si>
    <t>评标区</t>
  </si>
  <si>
    <t>谈判区</t>
  </si>
  <si>
    <t>特色服务区</t>
  </si>
  <si>
    <t>城市规划展</t>
  </si>
  <si>
    <t>政策咨询兑现</t>
  </si>
  <si>
    <t>城市书房</t>
  </si>
  <si>
    <t>健康指引</t>
  </si>
  <si>
    <t>城市大脑</t>
  </si>
  <si>
    <t>文旅推介</t>
  </si>
  <si>
    <t>12345 热线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</si>
</sst>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9">
    <font>
      <sz val="11"/>
      <color theme="1"/>
      <name val="宋体"/>
      <charset val="134"/>
      <scheme val="minor"/>
    </font>
    <font>
      <sz val="22"/>
      <color theme="1"/>
      <name val="黑体"/>
      <charset val="134"/>
    </font>
    <font>
      <b/>
      <u/>
      <sz val="24"/>
      <name val="方正小标宋简体"/>
      <charset val="134"/>
    </font>
    <font>
      <b/>
      <sz val="24"/>
      <name val="方正小标宋简体"/>
      <charset val="134"/>
    </font>
    <font>
      <b/>
      <sz val="18"/>
      <name val="宋体"/>
      <charset val="134"/>
    </font>
    <font>
      <b/>
      <u/>
      <sz val="18"/>
      <name val="宋体"/>
      <charset val="134"/>
    </font>
    <font>
      <sz val="16"/>
      <color theme="1"/>
      <name val="黑体"/>
      <charset val="134"/>
    </font>
    <font>
      <sz val="11"/>
      <color theme="1"/>
      <name val="黑体"/>
      <charset val="134"/>
    </font>
    <font>
      <sz val="16"/>
      <color theme="1"/>
      <name val="宋体"/>
      <charset val="134"/>
    </font>
    <font>
      <sz val="16"/>
      <color rgb="FFFF0000"/>
      <name val="黑体"/>
      <charset val="134"/>
    </font>
    <font>
      <sz val="11"/>
      <name val="黑体"/>
      <charset val="134"/>
    </font>
    <font>
      <sz val="14"/>
      <color theme="1"/>
      <name val="黑体"/>
      <charset val="134"/>
    </font>
    <font>
      <sz val="12"/>
      <color theme="1"/>
      <name val="黑体"/>
      <charset val="134"/>
    </font>
    <font>
      <b/>
      <sz val="12"/>
      <color theme="1"/>
      <name val="仿宋_GB2312"/>
      <charset val="134"/>
    </font>
    <font>
      <sz val="12"/>
      <color theme="1"/>
      <name val="仿宋_GB2312"/>
      <charset val="134"/>
    </font>
    <font>
      <sz val="16"/>
      <color rgb="FF00B050"/>
      <name val="黑体"/>
      <charset val="134"/>
    </font>
    <font>
      <sz val="11"/>
      <name val="宋体"/>
      <charset val="134"/>
      <scheme val="minor"/>
    </font>
    <font>
      <sz val="16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8"/>
      <name val="宋体"/>
      <charset val="134"/>
    </font>
    <font>
      <sz val="16"/>
      <color theme="1"/>
      <name val="SimSun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3" borderId="16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17" applyNumberFormat="0" applyFill="0" applyAlignment="0" applyProtection="0">
      <alignment vertical="center"/>
    </xf>
    <xf numFmtId="0" fontId="24" fillId="0" borderId="17" applyNumberFormat="0" applyFill="0" applyAlignment="0" applyProtection="0">
      <alignment vertical="center"/>
    </xf>
    <xf numFmtId="0" fontId="25" fillId="0" borderId="18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4" borderId="19" applyNumberFormat="0" applyAlignment="0" applyProtection="0">
      <alignment vertical="center"/>
    </xf>
    <xf numFmtId="0" fontId="27" fillId="5" borderId="20" applyNumberFormat="0" applyAlignment="0" applyProtection="0">
      <alignment vertical="center"/>
    </xf>
    <xf numFmtId="0" fontId="28" fillId="5" borderId="19" applyNumberFormat="0" applyAlignment="0" applyProtection="0">
      <alignment vertical="center"/>
    </xf>
    <xf numFmtId="0" fontId="29" fillId="6" borderId="21" applyNumberFormat="0" applyAlignment="0" applyProtection="0">
      <alignment vertical="center"/>
    </xf>
    <xf numFmtId="0" fontId="30" fillId="0" borderId="22" applyNumberFormat="0" applyFill="0" applyAlignment="0" applyProtection="0">
      <alignment vertical="center"/>
    </xf>
    <xf numFmtId="0" fontId="31" fillId="0" borderId="23" applyNumberFormat="0" applyFill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</cellStyleXfs>
  <cellXfs count="7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left" vertical="center"/>
    </xf>
    <xf numFmtId="0" fontId="5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left" vertical="center" wrapText="1"/>
    </xf>
    <xf numFmtId="0" fontId="6" fillId="0" borderId="1" xfId="0" applyFont="1" applyBorder="1" applyAlignment="1">
      <alignment vertical="top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top"/>
    </xf>
    <xf numFmtId="0" fontId="6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 wrapText="1"/>
    </xf>
    <xf numFmtId="57" fontId="7" fillId="0" borderId="5" xfId="0" applyNumberFormat="1" applyFont="1" applyBorder="1" applyAlignment="1">
      <alignment horizontal="center" vertical="center" wrapText="1"/>
    </xf>
    <xf numFmtId="31" fontId="7" fillId="0" borderId="5" xfId="0" applyNumberFormat="1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 wrapText="1"/>
    </xf>
    <xf numFmtId="0" fontId="9" fillId="0" borderId="3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11" fillId="0" borderId="8" xfId="0" applyFont="1" applyFill="1" applyBorder="1" applyAlignment="1">
      <alignment horizontal="center" vertical="center" wrapText="1"/>
    </xf>
    <xf numFmtId="0" fontId="11" fillId="0" borderId="9" xfId="0" applyFont="1" applyFill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6" fillId="0" borderId="2" xfId="0" applyFont="1" applyFill="1" applyBorder="1" applyAlignment="1">
      <alignment horizontal="center" vertical="center" wrapText="1"/>
    </xf>
    <xf numFmtId="0" fontId="6" fillId="0" borderId="11" xfId="0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 wrapText="1"/>
    </xf>
    <xf numFmtId="0" fontId="6" fillId="0" borderId="13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13" fillId="0" borderId="9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13" fillId="0" borderId="10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 wrapText="1"/>
    </xf>
    <xf numFmtId="0" fontId="0" fillId="0" borderId="2" xfId="0" applyBorder="1">
      <alignment vertical="center"/>
    </xf>
    <xf numFmtId="0" fontId="6" fillId="0" borderId="14" xfId="0" applyFont="1" applyFill="1" applyBorder="1" applyAlignment="1">
      <alignment horizontal="center" vertical="center" wrapText="1"/>
    </xf>
    <xf numFmtId="0" fontId="6" fillId="0" borderId="9" xfId="0" applyFont="1" applyFill="1" applyBorder="1" applyAlignment="1">
      <alignment horizontal="center" vertical="center" wrapText="1"/>
    </xf>
    <xf numFmtId="0" fontId="9" fillId="0" borderId="5" xfId="0" applyFont="1" applyFill="1" applyBorder="1" applyAlignment="1">
      <alignment horizontal="center" vertical="center" wrapText="1"/>
    </xf>
    <xf numFmtId="0" fontId="15" fillId="0" borderId="5" xfId="0" applyFont="1" applyFill="1" applyBorder="1" applyAlignment="1">
      <alignment horizontal="center" vertical="center" wrapText="1"/>
    </xf>
    <xf numFmtId="0" fontId="15" fillId="0" borderId="11" xfId="0" applyFont="1" applyFill="1" applyBorder="1" applyAlignment="1">
      <alignment horizontal="center" vertical="center" wrapText="1"/>
    </xf>
    <xf numFmtId="0" fontId="15" fillId="0" borderId="3" xfId="0" applyFont="1" applyFill="1" applyBorder="1" applyAlignment="1">
      <alignment horizontal="center" vertical="center" wrapText="1"/>
    </xf>
    <xf numFmtId="0" fontId="15" fillId="0" borderId="4" xfId="0" applyFont="1" applyFill="1" applyBorder="1" applyAlignment="1">
      <alignment horizontal="center" vertical="center" wrapText="1"/>
    </xf>
    <xf numFmtId="0" fontId="10" fillId="0" borderId="4" xfId="0" applyFont="1" applyFill="1" applyBorder="1" applyAlignment="1">
      <alignment horizontal="center" vertical="center" wrapText="1"/>
    </xf>
    <xf numFmtId="0" fontId="16" fillId="0" borderId="2" xfId="0" applyFont="1" applyFill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5" fillId="0" borderId="11" xfId="0" applyFont="1" applyFill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/>
    </xf>
    <xf numFmtId="0" fontId="17" fillId="0" borderId="12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6" fillId="0" borderId="14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X39"/>
  <sheetViews>
    <sheetView tabSelected="1" zoomScale="70" zoomScaleNormal="70" topLeftCell="K7" workbookViewId="0">
      <selection activeCell="W20" sqref="W20"/>
    </sheetView>
  </sheetViews>
  <sheetFormatPr defaultColWidth="9" defaultRowHeight="50" customHeight="1"/>
  <cols>
    <col min="1" max="1" width="23.2884615384615" customWidth="1"/>
    <col min="2" max="2" width="15.5480769230769" customWidth="1"/>
    <col min="3" max="3" width="16.5" customWidth="1"/>
    <col min="4" max="4" width="16.8269230769231" customWidth="1"/>
    <col min="5" max="5" width="23.6153846153846" customWidth="1"/>
    <col min="6" max="6" width="25.6538461538462" customWidth="1"/>
    <col min="7" max="7" width="28.7788461538462" customWidth="1"/>
    <col min="8" max="8" width="17.7692307692308" customWidth="1"/>
    <col min="9" max="9" width="21.4038461538462" customWidth="1"/>
    <col min="10" max="10" width="16.5673076923077" customWidth="1"/>
    <col min="11" max="11" width="12.9230769230769" customWidth="1"/>
    <col min="12" max="12" width="21.8269230769231" style="1" customWidth="1"/>
    <col min="13" max="13" width="23.3365384615385" style="1" customWidth="1"/>
    <col min="14" max="14" width="18.0576923076923" customWidth="1"/>
    <col min="15" max="15" width="16.3846153846154" customWidth="1"/>
    <col min="16" max="16" width="18.4038461538462" customWidth="1"/>
    <col min="17" max="18" width="20.8365384615385" customWidth="1"/>
    <col min="19" max="19" width="14.7211538461538" customWidth="1"/>
    <col min="20" max="20" width="14.75" customWidth="1"/>
    <col min="21" max="21" width="20" customWidth="1"/>
    <col min="22" max="22" width="13.6153846153846" customWidth="1"/>
    <col min="23" max="29" width="18.7884615384615" customWidth="1"/>
    <col min="30" max="30" width="15.75" customWidth="1"/>
    <col min="31" max="31" width="20.3942307692308" customWidth="1"/>
    <col min="32" max="32" width="16.6538461538462" customWidth="1"/>
    <col min="33" max="34" width="15.9423076923077" customWidth="1"/>
    <col min="35" max="35" width="20.3942307692308" customWidth="1"/>
    <col min="36" max="40" width="15.9423076923077" customWidth="1"/>
    <col min="41" max="42" width="20.4711538461538" customWidth="1"/>
    <col min="43" max="43" width="15.9423076923077" customWidth="1"/>
    <col min="44" max="44" width="19.3846153846154" customWidth="1"/>
    <col min="45" max="45" width="11.1153846153846" customWidth="1"/>
    <col min="46" max="46" width="16.3653846153846" customWidth="1"/>
    <col min="47" max="47" width="13.7307692307692" customWidth="1"/>
    <col min="48" max="48" width="14.7307692307692" customWidth="1"/>
    <col min="49" max="49" width="14.1442307692308" customWidth="1"/>
    <col min="50" max="50" width="17.9807692307692" customWidth="1"/>
  </cols>
  <sheetData>
    <row r="1" customHeight="1" spans="1:1">
      <c r="A1" s="2" t="s">
        <v>0</v>
      </c>
    </row>
    <row r="2" ht="81" customHeight="1" spans="1:50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</row>
    <row r="3" customHeight="1" spans="1:50">
      <c r="A3" s="5" t="s">
        <v>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34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</row>
    <row r="4" ht="228" customHeight="1" spans="1:50">
      <c r="A4" s="7" t="s">
        <v>3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34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</row>
    <row r="5" customHeight="1" spans="1:50">
      <c r="A5" s="8" t="s">
        <v>4</v>
      </c>
      <c r="B5" s="9" t="s">
        <v>5</v>
      </c>
      <c r="C5" s="9"/>
      <c r="D5" s="9"/>
      <c r="E5" s="9"/>
      <c r="F5" s="9"/>
      <c r="G5" s="9"/>
      <c r="H5" s="9"/>
      <c r="I5" s="9"/>
      <c r="J5" s="9"/>
      <c r="K5" s="9"/>
      <c r="L5" s="25" t="s">
        <v>6</v>
      </c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9" t="s">
        <v>7</v>
      </c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</row>
    <row r="6" customHeight="1" spans="1:50">
      <c r="A6" s="8"/>
      <c r="B6" s="10" t="s">
        <v>8</v>
      </c>
      <c r="C6" s="10" t="s">
        <v>9</v>
      </c>
      <c r="D6" s="10" t="s">
        <v>10</v>
      </c>
      <c r="E6" s="20" t="s">
        <v>11</v>
      </c>
      <c r="F6" s="20" t="s">
        <v>12</v>
      </c>
      <c r="G6" s="21" t="s">
        <v>13</v>
      </c>
      <c r="H6" s="21" t="s">
        <v>14</v>
      </c>
      <c r="I6" s="21" t="s">
        <v>15</v>
      </c>
      <c r="J6" s="10" t="s">
        <v>16</v>
      </c>
      <c r="K6" s="10" t="s">
        <v>17</v>
      </c>
      <c r="L6" s="26" t="s">
        <v>18</v>
      </c>
      <c r="M6" s="35" t="s">
        <v>19</v>
      </c>
      <c r="N6" s="35" t="s">
        <v>20</v>
      </c>
      <c r="O6" s="36" t="s">
        <v>21</v>
      </c>
      <c r="P6" s="37"/>
      <c r="Q6" s="37"/>
      <c r="R6" s="51"/>
      <c r="S6" s="26" t="s">
        <v>22</v>
      </c>
      <c r="T6" s="26" t="s">
        <v>23</v>
      </c>
      <c r="U6" s="53" t="s">
        <v>24</v>
      </c>
      <c r="V6" s="53" t="s">
        <v>25</v>
      </c>
      <c r="W6" s="54" t="s">
        <v>26</v>
      </c>
      <c r="X6" s="55"/>
      <c r="Y6" s="61"/>
      <c r="Z6" s="61"/>
      <c r="AA6" s="61"/>
      <c r="AB6" s="61"/>
      <c r="AC6" s="61"/>
      <c r="AD6" s="62" t="s">
        <v>27</v>
      </c>
      <c r="AE6" s="63"/>
      <c r="AF6" s="64" t="s">
        <v>28</v>
      </c>
      <c r="AG6" s="66"/>
      <c r="AH6" s="66"/>
      <c r="AI6" s="66"/>
      <c r="AJ6" s="66"/>
      <c r="AK6" s="66"/>
      <c r="AL6" s="66"/>
      <c r="AM6" s="66"/>
      <c r="AN6" s="66"/>
      <c r="AO6" s="66"/>
      <c r="AP6" s="72"/>
      <c r="AQ6" s="9" t="s">
        <v>29</v>
      </c>
      <c r="AR6" s="9"/>
      <c r="AS6" s="9" t="s">
        <v>30</v>
      </c>
      <c r="AT6" s="9"/>
      <c r="AU6" s="9" t="s">
        <v>31</v>
      </c>
      <c r="AV6" s="9"/>
      <c r="AW6" s="64" t="s">
        <v>32</v>
      </c>
      <c r="AX6" s="74"/>
    </row>
    <row r="7" customHeight="1" spans="1:50">
      <c r="A7" s="8"/>
      <c r="B7" s="10"/>
      <c r="C7" s="10"/>
      <c r="D7" s="10"/>
      <c r="E7" s="20"/>
      <c r="F7" s="20"/>
      <c r="G7" s="21"/>
      <c r="H7" s="21"/>
      <c r="I7" s="21"/>
      <c r="J7" s="10"/>
      <c r="K7" s="10"/>
      <c r="L7" s="20"/>
      <c r="M7" s="35"/>
      <c r="N7" s="35"/>
      <c r="O7" s="38"/>
      <c r="P7" s="39"/>
      <c r="Q7" s="39"/>
      <c r="R7" s="52"/>
      <c r="S7" s="20"/>
      <c r="T7" s="20"/>
      <c r="U7" s="21"/>
      <c r="V7" s="21"/>
      <c r="W7" s="56"/>
      <c r="X7" s="56" t="s">
        <v>33</v>
      </c>
      <c r="Y7" s="56" t="s">
        <v>34</v>
      </c>
      <c r="Z7" s="56" t="s">
        <v>35</v>
      </c>
      <c r="AA7" s="56" t="s">
        <v>36</v>
      </c>
      <c r="AB7" s="56" t="s">
        <v>37</v>
      </c>
      <c r="AC7" s="56" t="s">
        <v>38</v>
      </c>
      <c r="AD7" s="65" t="s">
        <v>39</v>
      </c>
      <c r="AE7" s="9" t="s">
        <v>40</v>
      </c>
      <c r="AF7" s="9" t="s">
        <v>41</v>
      </c>
      <c r="AG7" s="67" t="s">
        <v>42</v>
      </c>
      <c r="AH7" s="9" t="s">
        <v>43</v>
      </c>
      <c r="AI7" s="68" t="s">
        <v>44</v>
      </c>
      <c r="AJ7" s="69"/>
      <c r="AK7" s="71"/>
      <c r="AL7" s="9" t="s">
        <v>45</v>
      </c>
      <c r="AM7" s="9"/>
      <c r="AN7" s="9"/>
      <c r="AO7" s="9"/>
      <c r="AP7" s="9"/>
      <c r="AQ7" s="10" t="s">
        <v>41</v>
      </c>
      <c r="AR7" s="9" t="s">
        <v>46</v>
      </c>
      <c r="AS7" s="10" t="s">
        <v>41</v>
      </c>
      <c r="AT7" s="9" t="s">
        <v>47</v>
      </c>
      <c r="AU7" s="10" t="s">
        <v>41</v>
      </c>
      <c r="AV7" s="10" t="s">
        <v>48</v>
      </c>
      <c r="AW7" s="9" t="s">
        <v>41</v>
      </c>
      <c r="AX7" s="67" t="s">
        <v>49</v>
      </c>
    </row>
    <row r="8" ht="75" customHeight="1" spans="1:50">
      <c r="A8" s="11"/>
      <c r="B8" s="12"/>
      <c r="C8" s="12"/>
      <c r="D8" s="12"/>
      <c r="E8" s="22"/>
      <c r="F8" s="22"/>
      <c r="G8" s="23"/>
      <c r="H8" s="23"/>
      <c r="I8" s="23"/>
      <c r="J8" s="12"/>
      <c r="K8" s="27"/>
      <c r="L8" s="22"/>
      <c r="M8" s="35"/>
      <c r="N8" s="35"/>
      <c r="O8" s="40" t="s">
        <v>50</v>
      </c>
      <c r="P8" s="40" t="s">
        <v>51</v>
      </c>
      <c r="Q8" s="40" t="s">
        <v>52</v>
      </c>
      <c r="R8" s="40" t="s">
        <v>53</v>
      </c>
      <c r="S8" s="22"/>
      <c r="T8" s="22"/>
      <c r="U8" s="23"/>
      <c r="V8" s="23"/>
      <c r="W8" s="57"/>
      <c r="X8" s="57"/>
      <c r="Y8" s="57"/>
      <c r="Z8" s="57"/>
      <c r="AA8" s="57"/>
      <c r="AB8" s="57"/>
      <c r="AC8" s="57"/>
      <c r="AD8" s="65"/>
      <c r="AE8" s="9"/>
      <c r="AF8" s="9"/>
      <c r="AG8" s="12"/>
      <c r="AH8" s="9"/>
      <c r="AI8" s="70" t="s">
        <v>41</v>
      </c>
      <c r="AJ8" s="70" t="s">
        <v>42</v>
      </c>
      <c r="AK8" s="70" t="s">
        <v>54</v>
      </c>
      <c r="AL8" s="9" t="s">
        <v>41</v>
      </c>
      <c r="AM8" s="9" t="s">
        <v>42</v>
      </c>
      <c r="AN8" s="9" t="s">
        <v>55</v>
      </c>
      <c r="AO8" s="9" t="s">
        <v>56</v>
      </c>
      <c r="AP8" s="9" t="s">
        <v>57</v>
      </c>
      <c r="AQ8" s="12"/>
      <c r="AR8" s="9"/>
      <c r="AS8" s="12"/>
      <c r="AT8" s="9"/>
      <c r="AU8" s="12"/>
      <c r="AV8" s="12"/>
      <c r="AW8" s="9"/>
      <c r="AX8" s="12"/>
    </row>
    <row r="9" ht="75" customHeight="1" spans="1:50">
      <c r="A9" s="13" t="s">
        <v>58</v>
      </c>
      <c r="B9" s="14" t="s">
        <v>59</v>
      </c>
      <c r="C9" s="15">
        <v>44317</v>
      </c>
      <c r="D9" s="16">
        <v>45642</v>
      </c>
      <c r="E9" s="14">
        <v>700</v>
      </c>
      <c r="F9" s="14">
        <v>0</v>
      </c>
      <c r="G9" s="24">
        <v>1942</v>
      </c>
      <c r="H9" s="24">
        <v>1940</v>
      </c>
      <c r="I9" s="14">
        <v>84</v>
      </c>
      <c r="J9" s="14">
        <v>12000</v>
      </c>
      <c r="K9" s="14">
        <v>5500</v>
      </c>
      <c r="L9" s="28" t="s">
        <v>60</v>
      </c>
      <c r="M9" s="41" t="s">
        <v>61</v>
      </c>
      <c r="N9" s="42">
        <v>270</v>
      </c>
      <c r="O9" s="42">
        <v>8</v>
      </c>
      <c r="P9" s="42">
        <v>8</v>
      </c>
      <c r="Q9" s="42">
        <v>0</v>
      </c>
      <c r="R9" s="42">
        <v>0</v>
      </c>
      <c r="S9" s="42">
        <v>8</v>
      </c>
      <c r="T9" s="42">
        <v>2</v>
      </c>
      <c r="U9" s="58">
        <v>1</v>
      </c>
      <c r="V9" s="58">
        <v>6</v>
      </c>
      <c r="W9" s="58">
        <f>X9+Z9</f>
        <v>12966</v>
      </c>
      <c r="X9" s="58">
        <v>0</v>
      </c>
      <c r="Y9" s="58">
        <v>13075</v>
      </c>
      <c r="Z9" s="58">
        <v>12966</v>
      </c>
      <c r="AA9" s="60">
        <v>87</v>
      </c>
      <c r="AB9" s="60">
        <v>1</v>
      </c>
      <c r="AC9" s="58">
        <f>Z9-(AA10+AB10)</f>
        <v>10023</v>
      </c>
      <c r="AD9" s="42">
        <v>79</v>
      </c>
      <c r="AE9" s="42">
        <v>79</v>
      </c>
      <c r="AF9" s="42">
        <v>0</v>
      </c>
      <c r="AG9" s="42">
        <v>0</v>
      </c>
      <c r="AH9" s="42"/>
      <c r="AI9" s="42">
        <v>0</v>
      </c>
      <c r="AJ9" s="42">
        <v>0</v>
      </c>
      <c r="AK9" s="42"/>
      <c r="AL9" s="42">
        <v>0</v>
      </c>
      <c r="AM9" s="42">
        <v>0</v>
      </c>
      <c r="AN9" s="42"/>
      <c r="AO9" s="42"/>
      <c r="AP9" s="73"/>
      <c r="AQ9" s="73">
        <v>24</v>
      </c>
      <c r="AR9" s="73">
        <v>24</v>
      </c>
      <c r="AS9" s="73">
        <v>1</v>
      </c>
      <c r="AT9" s="73">
        <v>1</v>
      </c>
      <c r="AU9" s="73">
        <v>0</v>
      </c>
      <c r="AV9" s="73">
        <v>0</v>
      </c>
      <c r="AW9" s="73">
        <v>54</v>
      </c>
      <c r="AX9" s="73">
        <v>54</v>
      </c>
    </row>
    <row r="10" customHeight="1" spans="1:50">
      <c r="A10" s="17"/>
      <c r="B10" s="18" t="s">
        <v>62</v>
      </c>
      <c r="C10" s="18" t="s">
        <v>62</v>
      </c>
      <c r="D10" s="18" t="s">
        <v>62</v>
      </c>
      <c r="E10" s="18" t="s">
        <v>62</v>
      </c>
      <c r="F10" s="18" t="s">
        <v>62</v>
      </c>
      <c r="G10" s="18" t="s">
        <v>62</v>
      </c>
      <c r="H10" s="18" t="s">
        <v>62</v>
      </c>
      <c r="I10" s="18" t="s">
        <v>62</v>
      </c>
      <c r="J10" s="18" t="s">
        <v>62</v>
      </c>
      <c r="K10" s="18" t="s">
        <v>62</v>
      </c>
      <c r="L10" s="28"/>
      <c r="M10" s="43" t="s">
        <v>63</v>
      </c>
      <c r="N10" s="44">
        <v>635</v>
      </c>
      <c r="O10" s="44">
        <v>45</v>
      </c>
      <c r="P10" s="44">
        <v>45</v>
      </c>
      <c r="Q10" s="44">
        <v>0</v>
      </c>
      <c r="R10" s="44">
        <v>0</v>
      </c>
      <c r="S10" s="44">
        <v>82</v>
      </c>
      <c r="T10" s="44">
        <v>25</v>
      </c>
      <c r="U10" s="59">
        <v>51</v>
      </c>
      <c r="V10" s="59">
        <v>822</v>
      </c>
      <c r="W10" s="58">
        <f t="shared" ref="W10:W20" si="0">X10+Z10</f>
        <v>35814</v>
      </c>
      <c r="X10" s="59">
        <v>2870</v>
      </c>
      <c r="Y10" s="59">
        <v>33862</v>
      </c>
      <c r="Z10" s="59">
        <v>32944</v>
      </c>
      <c r="AA10" s="60">
        <v>2941</v>
      </c>
      <c r="AB10" s="60">
        <v>2</v>
      </c>
      <c r="AC10" s="58">
        <f>Z10-(AA11+AB11)</f>
        <v>31308</v>
      </c>
      <c r="AD10" s="18" t="s">
        <v>62</v>
      </c>
      <c r="AE10" s="18" t="s">
        <v>62</v>
      </c>
      <c r="AF10" s="18" t="s">
        <v>62</v>
      </c>
      <c r="AG10" s="18" t="s">
        <v>62</v>
      </c>
      <c r="AH10" s="18" t="s">
        <v>62</v>
      </c>
      <c r="AI10" s="18" t="s">
        <v>62</v>
      </c>
      <c r="AJ10" s="18" t="s">
        <v>62</v>
      </c>
      <c r="AK10" s="18" t="s">
        <v>62</v>
      </c>
      <c r="AL10" s="18" t="s">
        <v>62</v>
      </c>
      <c r="AM10" s="18" t="s">
        <v>62</v>
      </c>
      <c r="AN10" s="18" t="s">
        <v>62</v>
      </c>
      <c r="AO10" s="18" t="s">
        <v>62</v>
      </c>
      <c r="AP10" s="18" t="s">
        <v>62</v>
      </c>
      <c r="AQ10" s="18" t="s">
        <v>62</v>
      </c>
      <c r="AR10" s="18" t="s">
        <v>62</v>
      </c>
      <c r="AS10" s="18" t="s">
        <v>62</v>
      </c>
      <c r="AT10" s="18" t="s">
        <v>62</v>
      </c>
      <c r="AU10" s="18" t="s">
        <v>62</v>
      </c>
      <c r="AV10" s="18" t="s">
        <v>62</v>
      </c>
      <c r="AW10" s="18" t="s">
        <v>62</v>
      </c>
      <c r="AX10" s="18" t="s">
        <v>62</v>
      </c>
    </row>
    <row r="11" customHeight="1" spans="1:50">
      <c r="A11" s="17"/>
      <c r="B11" s="18" t="s">
        <v>62</v>
      </c>
      <c r="C11" s="18" t="s">
        <v>62</v>
      </c>
      <c r="D11" s="18" t="s">
        <v>62</v>
      </c>
      <c r="E11" s="18" t="s">
        <v>62</v>
      </c>
      <c r="F11" s="18" t="s">
        <v>62</v>
      </c>
      <c r="G11" s="18" t="s">
        <v>62</v>
      </c>
      <c r="H11" s="18" t="s">
        <v>62</v>
      </c>
      <c r="I11" s="18" t="s">
        <v>62</v>
      </c>
      <c r="J11" s="18" t="s">
        <v>62</v>
      </c>
      <c r="K11" s="18" t="s">
        <v>62</v>
      </c>
      <c r="L11" s="28"/>
      <c r="M11" s="43" t="s">
        <v>64</v>
      </c>
      <c r="N11" s="45">
        <v>805</v>
      </c>
      <c r="O11" s="45">
        <v>12</v>
      </c>
      <c r="P11" s="45">
        <v>12</v>
      </c>
      <c r="Q11" s="45">
        <v>0</v>
      </c>
      <c r="R11" s="45">
        <v>0</v>
      </c>
      <c r="S11" s="45">
        <v>22</v>
      </c>
      <c r="T11" s="45">
        <v>48</v>
      </c>
      <c r="U11" s="60">
        <v>2</v>
      </c>
      <c r="V11" s="60">
        <v>93</v>
      </c>
      <c r="W11" s="58">
        <f t="shared" si="0"/>
        <v>65055</v>
      </c>
      <c r="X11" s="60">
        <v>17565</v>
      </c>
      <c r="Y11" s="60">
        <v>47950</v>
      </c>
      <c r="Z11" s="60">
        <v>47490</v>
      </c>
      <c r="AA11" s="60">
        <v>1629</v>
      </c>
      <c r="AB11" s="60">
        <v>7</v>
      </c>
      <c r="AC11" s="58">
        <f>Z11-(AA12+AB12)</f>
        <v>42105</v>
      </c>
      <c r="AD11" s="18" t="s">
        <v>62</v>
      </c>
      <c r="AE11" s="18" t="s">
        <v>62</v>
      </c>
      <c r="AF11" s="18" t="s">
        <v>62</v>
      </c>
      <c r="AG11" s="18" t="s">
        <v>62</v>
      </c>
      <c r="AH11" s="18" t="s">
        <v>62</v>
      </c>
      <c r="AI11" s="18" t="s">
        <v>62</v>
      </c>
      <c r="AJ11" s="18" t="s">
        <v>62</v>
      </c>
      <c r="AK11" s="18" t="s">
        <v>62</v>
      </c>
      <c r="AL11" s="18" t="s">
        <v>62</v>
      </c>
      <c r="AM11" s="18" t="s">
        <v>62</v>
      </c>
      <c r="AN11" s="18" t="s">
        <v>62</v>
      </c>
      <c r="AO11" s="18" t="s">
        <v>62</v>
      </c>
      <c r="AP11" s="18" t="s">
        <v>62</v>
      </c>
      <c r="AQ11" s="18" t="s">
        <v>62</v>
      </c>
      <c r="AR11" s="18" t="s">
        <v>62</v>
      </c>
      <c r="AS11" s="18" t="s">
        <v>62</v>
      </c>
      <c r="AT11" s="18" t="s">
        <v>62</v>
      </c>
      <c r="AU11" s="18" t="s">
        <v>62</v>
      </c>
      <c r="AV11" s="18" t="s">
        <v>62</v>
      </c>
      <c r="AW11" s="18" t="s">
        <v>62</v>
      </c>
      <c r="AX11" s="18" t="s">
        <v>62</v>
      </c>
    </row>
    <row r="12" customHeight="1" spans="1:50">
      <c r="A12" s="17"/>
      <c r="B12" s="18" t="s">
        <v>62</v>
      </c>
      <c r="C12" s="18" t="s">
        <v>62</v>
      </c>
      <c r="D12" s="18" t="s">
        <v>62</v>
      </c>
      <c r="E12" s="18" t="s">
        <v>62</v>
      </c>
      <c r="F12" s="18" t="s">
        <v>62</v>
      </c>
      <c r="G12" s="18" t="s">
        <v>62</v>
      </c>
      <c r="H12" s="18" t="s">
        <v>62</v>
      </c>
      <c r="I12" s="18" t="s">
        <v>62</v>
      </c>
      <c r="J12" s="18" t="s">
        <v>62</v>
      </c>
      <c r="K12" s="18" t="s">
        <v>62</v>
      </c>
      <c r="L12" s="28"/>
      <c r="M12" s="43" t="s">
        <v>65</v>
      </c>
      <c r="N12" s="45">
        <v>230</v>
      </c>
      <c r="O12" s="45">
        <v>12</v>
      </c>
      <c r="P12" s="45">
        <v>12</v>
      </c>
      <c r="Q12" s="45">
        <v>0</v>
      </c>
      <c r="R12" s="45">
        <v>0</v>
      </c>
      <c r="S12" s="45">
        <v>10</v>
      </c>
      <c r="T12" s="45">
        <v>5</v>
      </c>
      <c r="U12" s="60">
        <v>2</v>
      </c>
      <c r="V12" s="60">
        <v>48</v>
      </c>
      <c r="W12" s="58">
        <f t="shared" si="0"/>
        <v>627986</v>
      </c>
      <c r="X12" s="60">
        <v>609732</v>
      </c>
      <c r="Y12" s="60">
        <v>18549</v>
      </c>
      <c r="Z12" s="60">
        <v>18254</v>
      </c>
      <c r="AA12" s="60">
        <v>5384</v>
      </c>
      <c r="AB12" s="60">
        <v>1</v>
      </c>
      <c r="AC12" s="58" t="e">
        <f>Z12-(#REF!+#REF!)</f>
        <v>#REF!</v>
      </c>
      <c r="AD12" s="18" t="s">
        <v>62</v>
      </c>
      <c r="AE12" s="18" t="s">
        <v>62</v>
      </c>
      <c r="AF12" s="18" t="s">
        <v>62</v>
      </c>
      <c r="AG12" s="18" t="s">
        <v>62</v>
      </c>
      <c r="AH12" s="18" t="s">
        <v>62</v>
      </c>
      <c r="AI12" s="18" t="s">
        <v>62</v>
      </c>
      <c r="AJ12" s="18" t="s">
        <v>62</v>
      </c>
      <c r="AK12" s="18" t="s">
        <v>62</v>
      </c>
      <c r="AL12" s="18" t="s">
        <v>62</v>
      </c>
      <c r="AM12" s="18" t="s">
        <v>62</v>
      </c>
      <c r="AN12" s="18" t="s">
        <v>62</v>
      </c>
      <c r="AO12" s="18" t="s">
        <v>62</v>
      </c>
      <c r="AP12" s="18" t="s">
        <v>62</v>
      </c>
      <c r="AQ12" s="18" t="s">
        <v>62</v>
      </c>
      <c r="AR12" s="18" t="s">
        <v>62</v>
      </c>
      <c r="AS12" s="18" t="s">
        <v>62</v>
      </c>
      <c r="AT12" s="18" t="s">
        <v>62</v>
      </c>
      <c r="AU12" s="18" t="s">
        <v>62</v>
      </c>
      <c r="AV12" s="18" t="s">
        <v>62</v>
      </c>
      <c r="AW12" s="18" t="s">
        <v>62</v>
      </c>
      <c r="AX12" s="18" t="s">
        <v>62</v>
      </c>
    </row>
    <row r="13" customHeight="1" spans="1:50">
      <c r="A13" s="17"/>
      <c r="B13" s="18" t="s">
        <v>62</v>
      </c>
      <c r="C13" s="18" t="s">
        <v>62</v>
      </c>
      <c r="D13" s="18" t="s">
        <v>62</v>
      </c>
      <c r="E13" s="18" t="s">
        <v>62</v>
      </c>
      <c r="F13" s="18" t="s">
        <v>62</v>
      </c>
      <c r="G13" s="18" t="s">
        <v>62</v>
      </c>
      <c r="H13" s="18" t="s">
        <v>62</v>
      </c>
      <c r="I13" s="18" t="s">
        <v>62</v>
      </c>
      <c r="J13" s="18" t="s">
        <v>62</v>
      </c>
      <c r="K13" s="18" t="s">
        <v>62</v>
      </c>
      <c r="L13" s="28"/>
      <c r="M13" s="43" t="s">
        <v>66</v>
      </c>
      <c r="N13" s="45">
        <v>220</v>
      </c>
      <c r="O13" s="45">
        <v>18</v>
      </c>
      <c r="P13" s="45">
        <v>14</v>
      </c>
      <c r="Q13" s="45">
        <v>0</v>
      </c>
      <c r="R13" s="45">
        <v>4</v>
      </c>
      <c r="S13" s="45">
        <v>17</v>
      </c>
      <c r="T13" s="45">
        <v>34</v>
      </c>
      <c r="U13" s="60">
        <v>2</v>
      </c>
      <c r="V13" s="60">
        <v>194</v>
      </c>
      <c r="W13" s="58">
        <f t="shared" si="0"/>
        <v>2586493</v>
      </c>
      <c r="X13" s="60">
        <v>2538147</v>
      </c>
      <c r="Y13" s="60">
        <v>48914</v>
      </c>
      <c r="Z13" s="60">
        <v>48346</v>
      </c>
      <c r="AA13" s="60">
        <v>1673</v>
      </c>
      <c r="AB13" s="60">
        <v>7</v>
      </c>
      <c r="AC13" s="58">
        <f t="shared" ref="AC10:AC20" si="1">Z13-(AA13+AB13)</f>
        <v>46666</v>
      </c>
      <c r="AD13" s="18" t="s">
        <v>62</v>
      </c>
      <c r="AE13" s="18" t="s">
        <v>62</v>
      </c>
      <c r="AF13" s="18" t="s">
        <v>62</v>
      </c>
      <c r="AG13" s="18" t="s">
        <v>62</v>
      </c>
      <c r="AH13" s="18" t="s">
        <v>62</v>
      </c>
      <c r="AI13" s="18" t="s">
        <v>62</v>
      </c>
      <c r="AJ13" s="18" t="s">
        <v>62</v>
      </c>
      <c r="AK13" s="18" t="s">
        <v>62</v>
      </c>
      <c r="AL13" s="18" t="s">
        <v>62</v>
      </c>
      <c r="AM13" s="18" t="s">
        <v>62</v>
      </c>
      <c r="AN13" s="18" t="s">
        <v>62</v>
      </c>
      <c r="AO13" s="18" t="s">
        <v>62</v>
      </c>
      <c r="AP13" s="18" t="s">
        <v>62</v>
      </c>
      <c r="AQ13" s="18" t="s">
        <v>62</v>
      </c>
      <c r="AR13" s="18" t="s">
        <v>62</v>
      </c>
      <c r="AS13" s="18" t="s">
        <v>62</v>
      </c>
      <c r="AT13" s="18" t="s">
        <v>62</v>
      </c>
      <c r="AU13" s="18" t="s">
        <v>62</v>
      </c>
      <c r="AV13" s="18" t="s">
        <v>62</v>
      </c>
      <c r="AW13" s="18" t="s">
        <v>62</v>
      </c>
      <c r="AX13" s="18" t="s">
        <v>62</v>
      </c>
    </row>
    <row r="14" customHeight="1" spans="1:50">
      <c r="A14" s="17"/>
      <c r="B14" s="18" t="s">
        <v>62</v>
      </c>
      <c r="C14" s="18" t="s">
        <v>62</v>
      </c>
      <c r="D14" s="18" t="s">
        <v>62</v>
      </c>
      <c r="E14" s="18" t="s">
        <v>62</v>
      </c>
      <c r="F14" s="18" t="s">
        <v>62</v>
      </c>
      <c r="G14" s="18" t="s">
        <v>62</v>
      </c>
      <c r="H14" s="18" t="s">
        <v>62</v>
      </c>
      <c r="I14" s="18" t="s">
        <v>62</v>
      </c>
      <c r="J14" s="18" t="s">
        <v>62</v>
      </c>
      <c r="K14" s="18" t="s">
        <v>62</v>
      </c>
      <c r="L14" s="28"/>
      <c r="M14" s="43" t="s">
        <v>67</v>
      </c>
      <c r="N14" s="45">
        <v>100</v>
      </c>
      <c r="O14" s="45">
        <v>8</v>
      </c>
      <c r="P14" s="45">
        <v>8</v>
      </c>
      <c r="Q14" s="45">
        <v>0</v>
      </c>
      <c r="R14" s="45">
        <v>0</v>
      </c>
      <c r="S14" s="45">
        <v>7</v>
      </c>
      <c r="T14" s="45">
        <v>18</v>
      </c>
      <c r="U14" s="60">
        <v>2</v>
      </c>
      <c r="V14" s="60">
        <v>82</v>
      </c>
      <c r="W14" s="58">
        <f t="shared" si="0"/>
        <v>141949</v>
      </c>
      <c r="X14" s="60">
        <v>105271</v>
      </c>
      <c r="Y14" s="60">
        <v>36787</v>
      </c>
      <c r="Z14" s="60">
        <v>36678</v>
      </c>
      <c r="AA14" s="60">
        <v>14442</v>
      </c>
      <c r="AB14" s="60">
        <v>0</v>
      </c>
      <c r="AC14" s="58">
        <f t="shared" si="1"/>
        <v>22236</v>
      </c>
      <c r="AD14" s="18" t="s">
        <v>62</v>
      </c>
      <c r="AE14" s="18" t="s">
        <v>62</v>
      </c>
      <c r="AF14" s="18" t="s">
        <v>62</v>
      </c>
      <c r="AG14" s="18" t="s">
        <v>62</v>
      </c>
      <c r="AH14" s="18" t="s">
        <v>62</v>
      </c>
      <c r="AI14" s="18" t="s">
        <v>62</v>
      </c>
      <c r="AJ14" s="18" t="s">
        <v>62</v>
      </c>
      <c r="AK14" s="18" t="s">
        <v>62</v>
      </c>
      <c r="AL14" s="18" t="s">
        <v>62</v>
      </c>
      <c r="AM14" s="18" t="s">
        <v>62</v>
      </c>
      <c r="AN14" s="18" t="s">
        <v>62</v>
      </c>
      <c r="AO14" s="18" t="s">
        <v>62</v>
      </c>
      <c r="AP14" s="18" t="s">
        <v>62</v>
      </c>
      <c r="AQ14" s="18" t="s">
        <v>62</v>
      </c>
      <c r="AR14" s="18" t="s">
        <v>62</v>
      </c>
      <c r="AS14" s="18" t="s">
        <v>62</v>
      </c>
      <c r="AT14" s="18" t="s">
        <v>62</v>
      </c>
      <c r="AU14" s="18" t="s">
        <v>62</v>
      </c>
      <c r="AV14" s="18" t="s">
        <v>62</v>
      </c>
      <c r="AW14" s="18" t="s">
        <v>62</v>
      </c>
      <c r="AX14" s="18" t="s">
        <v>62</v>
      </c>
    </row>
    <row r="15" customHeight="1" spans="1:50">
      <c r="A15" s="17"/>
      <c r="B15" s="18" t="s">
        <v>62</v>
      </c>
      <c r="C15" s="18" t="s">
        <v>62</v>
      </c>
      <c r="D15" s="18" t="s">
        <v>62</v>
      </c>
      <c r="E15" s="18" t="s">
        <v>62</v>
      </c>
      <c r="F15" s="18" t="s">
        <v>62</v>
      </c>
      <c r="G15" s="18" t="s">
        <v>62</v>
      </c>
      <c r="H15" s="18" t="s">
        <v>62</v>
      </c>
      <c r="I15" s="18" t="s">
        <v>62</v>
      </c>
      <c r="J15" s="18" t="s">
        <v>62</v>
      </c>
      <c r="K15" s="18" t="s">
        <v>62</v>
      </c>
      <c r="L15" s="28"/>
      <c r="M15" s="43" t="s">
        <v>68</v>
      </c>
      <c r="N15" s="45">
        <v>350</v>
      </c>
      <c r="O15" s="45">
        <v>5</v>
      </c>
      <c r="P15" s="45">
        <v>5</v>
      </c>
      <c r="Q15" s="45">
        <v>0</v>
      </c>
      <c r="R15" s="45">
        <v>0</v>
      </c>
      <c r="S15" s="45">
        <v>6</v>
      </c>
      <c r="T15" s="45">
        <v>6</v>
      </c>
      <c r="U15" s="60">
        <v>2</v>
      </c>
      <c r="V15" s="60">
        <v>17</v>
      </c>
      <c r="W15" s="58">
        <f t="shared" si="0"/>
        <v>6303</v>
      </c>
      <c r="X15" s="60">
        <v>0</v>
      </c>
      <c r="Y15" s="60">
        <v>6477</v>
      </c>
      <c r="Z15" s="60">
        <v>6303</v>
      </c>
      <c r="AA15" s="60">
        <v>228</v>
      </c>
      <c r="AB15" s="60">
        <v>1</v>
      </c>
      <c r="AC15" s="58">
        <f t="shared" si="1"/>
        <v>6074</v>
      </c>
      <c r="AD15" s="18" t="s">
        <v>62</v>
      </c>
      <c r="AE15" s="18" t="s">
        <v>62</v>
      </c>
      <c r="AF15" s="18" t="s">
        <v>62</v>
      </c>
      <c r="AG15" s="18" t="s">
        <v>62</v>
      </c>
      <c r="AH15" s="18" t="s">
        <v>62</v>
      </c>
      <c r="AI15" s="18" t="s">
        <v>62</v>
      </c>
      <c r="AJ15" s="18" t="s">
        <v>62</v>
      </c>
      <c r="AK15" s="18" t="s">
        <v>62</v>
      </c>
      <c r="AL15" s="18" t="s">
        <v>62</v>
      </c>
      <c r="AM15" s="18" t="s">
        <v>62</v>
      </c>
      <c r="AN15" s="18" t="s">
        <v>62</v>
      </c>
      <c r="AO15" s="18" t="s">
        <v>62</v>
      </c>
      <c r="AP15" s="18" t="s">
        <v>62</v>
      </c>
      <c r="AQ15" s="18" t="s">
        <v>62</v>
      </c>
      <c r="AR15" s="18" t="s">
        <v>62</v>
      </c>
      <c r="AS15" s="18" t="s">
        <v>62</v>
      </c>
      <c r="AT15" s="18" t="s">
        <v>62</v>
      </c>
      <c r="AU15" s="18" t="s">
        <v>62</v>
      </c>
      <c r="AV15" s="18" t="s">
        <v>62</v>
      </c>
      <c r="AW15" s="18" t="s">
        <v>62</v>
      </c>
      <c r="AX15" s="18" t="s">
        <v>62</v>
      </c>
    </row>
    <row r="16" customHeight="1" spans="1:50">
      <c r="A16" s="17"/>
      <c r="B16" s="18" t="s">
        <v>62</v>
      </c>
      <c r="C16" s="18" t="s">
        <v>62</v>
      </c>
      <c r="D16" s="18" t="s">
        <v>62</v>
      </c>
      <c r="E16" s="18" t="s">
        <v>62</v>
      </c>
      <c r="F16" s="18" t="s">
        <v>62</v>
      </c>
      <c r="G16" s="18" t="s">
        <v>62</v>
      </c>
      <c r="H16" s="18" t="s">
        <v>62</v>
      </c>
      <c r="I16" s="18" t="s">
        <v>62</v>
      </c>
      <c r="J16" s="18" t="s">
        <v>62</v>
      </c>
      <c r="K16" s="18" t="s">
        <v>62</v>
      </c>
      <c r="L16" s="28"/>
      <c r="M16" s="43" t="s">
        <v>69</v>
      </c>
      <c r="N16" s="45">
        <v>650</v>
      </c>
      <c r="O16" s="45">
        <v>26</v>
      </c>
      <c r="P16" s="45">
        <v>26</v>
      </c>
      <c r="Q16" s="45">
        <v>0</v>
      </c>
      <c r="R16" s="45">
        <v>0</v>
      </c>
      <c r="S16" s="45">
        <v>35</v>
      </c>
      <c r="T16" s="45">
        <v>17</v>
      </c>
      <c r="U16" s="60">
        <v>3</v>
      </c>
      <c r="V16" s="60">
        <v>29</v>
      </c>
      <c r="W16" s="58">
        <f t="shared" si="0"/>
        <v>16254</v>
      </c>
      <c r="X16" s="60">
        <v>0</v>
      </c>
      <c r="Y16" s="60">
        <v>16858</v>
      </c>
      <c r="Z16" s="60">
        <v>16254</v>
      </c>
      <c r="AA16" s="60">
        <v>341</v>
      </c>
      <c r="AB16" s="60">
        <v>2</v>
      </c>
      <c r="AC16" s="58">
        <f t="shared" si="1"/>
        <v>15911</v>
      </c>
      <c r="AD16" s="18" t="s">
        <v>62</v>
      </c>
      <c r="AE16" s="18" t="s">
        <v>62</v>
      </c>
      <c r="AF16" s="18" t="s">
        <v>62</v>
      </c>
      <c r="AG16" s="18" t="s">
        <v>62</v>
      </c>
      <c r="AH16" s="18" t="s">
        <v>62</v>
      </c>
      <c r="AI16" s="18" t="s">
        <v>62</v>
      </c>
      <c r="AJ16" s="18" t="s">
        <v>62</v>
      </c>
      <c r="AK16" s="18" t="s">
        <v>62</v>
      </c>
      <c r="AL16" s="18" t="s">
        <v>62</v>
      </c>
      <c r="AM16" s="18" t="s">
        <v>62</v>
      </c>
      <c r="AN16" s="18" t="s">
        <v>62</v>
      </c>
      <c r="AO16" s="18" t="s">
        <v>62</v>
      </c>
      <c r="AP16" s="18" t="s">
        <v>62</v>
      </c>
      <c r="AQ16" s="18" t="s">
        <v>62</v>
      </c>
      <c r="AR16" s="18" t="s">
        <v>62</v>
      </c>
      <c r="AS16" s="18" t="s">
        <v>62</v>
      </c>
      <c r="AT16" s="18" t="s">
        <v>62</v>
      </c>
      <c r="AU16" s="18" t="s">
        <v>62</v>
      </c>
      <c r="AV16" s="18" t="s">
        <v>62</v>
      </c>
      <c r="AW16" s="18" t="s">
        <v>62</v>
      </c>
      <c r="AX16" s="18" t="s">
        <v>62</v>
      </c>
    </row>
    <row r="17" customHeight="1" spans="1:50">
      <c r="A17" s="17"/>
      <c r="B17" s="18" t="s">
        <v>62</v>
      </c>
      <c r="C17" s="18" t="s">
        <v>62</v>
      </c>
      <c r="D17" s="18" t="s">
        <v>62</v>
      </c>
      <c r="E17" s="18" t="s">
        <v>62</v>
      </c>
      <c r="F17" s="18" t="s">
        <v>62</v>
      </c>
      <c r="G17" s="18" t="s">
        <v>62</v>
      </c>
      <c r="H17" s="18" t="s">
        <v>62</v>
      </c>
      <c r="I17" s="18" t="s">
        <v>62</v>
      </c>
      <c r="J17" s="18" t="s">
        <v>62</v>
      </c>
      <c r="K17" s="18" t="s">
        <v>62</v>
      </c>
      <c r="L17" s="28"/>
      <c r="M17" s="43" t="s">
        <v>70</v>
      </c>
      <c r="N17" s="45">
        <v>440</v>
      </c>
      <c r="O17" s="45">
        <v>18</v>
      </c>
      <c r="P17" s="45">
        <v>18</v>
      </c>
      <c r="Q17" s="45">
        <v>0</v>
      </c>
      <c r="R17" s="45">
        <v>0</v>
      </c>
      <c r="S17" s="45">
        <v>20</v>
      </c>
      <c r="T17" s="45">
        <v>19</v>
      </c>
      <c r="U17" s="60">
        <v>1</v>
      </c>
      <c r="V17" s="60">
        <v>37</v>
      </c>
      <c r="W17" s="58">
        <f t="shared" si="0"/>
        <v>161089</v>
      </c>
      <c r="X17" s="60">
        <v>144304</v>
      </c>
      <c r="Y17" s="60">
        <v>16896</v>
      </c>
      <c r="Z17" s="60">
        <v>16785</v>
      </c>
      <c r="AA17" s="60">
        <v>2107</v>
      </c>
      <c r="AB17" s="60">
        <v>1</v>
      </c>
      <c r="AC17" s="58">
        <f t="shared" si="1"/>
        <v>14677</v>
      </c>
      <c r="AD17" s="18" t="s">
        <v>62</v>
      </c>
      <c r="AE17" s="18" t="s">
        <v>62</v>
      </c>
      <c r="AF17" s="18" t="s">
        <v>62</v>
      </c>
      <c r="AG17" s="18" t="s">
        <v>62</v>
      </c>
      <c r="AH17" s="18" t="s">
        <v>62</v>
      </c>
      <c r="AI17" s="18" t="s">
        <v>62</v>
      </c>
      <c r="AJ17" s="18" t="s">
        <v>62</v>
      </c>
      <c r="AK17" s="18" t="s">
        <v>62</v>
      </c>
      <c r="AL17" s="18" t="s">
        <v>62</v>
      </c>
      <c r="AM17" s="18" t="s">
        <v>62</v>
      </c>
      <c r="AN17" s="18" t="s">
        <v>62</v>
      </c>
      <c r="AO17" s="18" t="s">
        <v>62</v>
      </c>
      <c r="AP17" s="18" t="s">
        <v>62</v>
      </c>
      <c r="AQ17" s="18" t="s">
        <v>62</v>
      </c>
      <c r="AR17" s="18" t="s">
        <v>62</v>
      </c>
      <c r="AS17" s="18" t="s">
        <v>62</v>
      </c>
      <c r="AT17" s="18" t="s">
        <v>62</v>
      </c>
      <c r="AU17" s="18" t="s">
        <v>62</v>
      </c>
      <c r="AV17" s="18" t="s">
        <v>62</v>
      </c>
      <c r="AW17" s="18" t="s">
        <v>62</v>
      </c>
      <c r="AX17" s="18" t="s">
        <v>62</v>
      </c>
    </row>
    <row r="18" customHeight="1" spans="1:50">
      <c r="A18" s="17"/>
      <c r="B18" s="18" t="s">
        <v>62</v>
      </c>
      <c r="C18" s="18" t="s">
        <v>62</v>
      </c>
      <c r="D18" s="18" t="s">
        <v>62</v>
      </c>
      <c r="E18" s="18" t="s">
        <v>62</v>
      </c>
      <c r="F18" s="18" t="s">
        <v>62</v>
      </c>
      <c r="G18" s="18" t="s">
        <v>62</v>
      </c>
      <c r="H18" s="18" t="s">
        <v>62</v>
      </c>
      <c r="I18" s="18" t="s">
        <v>62</v>
      </c>
      <c r="J18" s="18" t="s">
        <v>62</v>
      </c>
      <c r="K18" s="18" t="s">
        <v>62</v>
      </c>
      <c r="L18" s="28"/>
      <c r="M18" s="43" t="s">
        <v>71</v>
      </c>
      <c r="N18" s="45">
        <v>400</v>
      </c>
      <c r="O18" s="45">
        <v>20</v>
      </c>
      <c r="P18" s="45">
        <v>20</v>
      </c>
      <c r="Q18" s="45">
        <v>0</v>
      </c>
      <c r="R18" s="45">
        <v>0</v>
      </c>
      <c r="S18" s="45">
        <v>18</v>
      </c>
      <c r="T18" s="45">
        <v>12</v>
      </c>
      <c r="U18" s="60">
        <v>2</v>
      </c>
      <c r="V18" s="60">
        <v>121</v>
      </c>
      <c r="W18" s="58">
        <f t="shared" si="0"/>
        <v>20586</v>
      </c>
      <c r="X18" s="60">
        <v>0</v>
      </c>
      <c r="Y18" s="60">
        <v>20778</v>
      </c>
      <c r="Z18" s="60">
        <v>20586</v>
      </c>
      <c r="AA18" s="60">
        <v>286</v>
      </c>
      <c r="AB18" s="60">
        <v>1</v>
      </c>
      <c r="AC18" s="58">
        <f t="shared" si="1"/>
        <v>20299</v>
      </c>
      <c r="AD18" s="18" t="s">
        <v>62</v>
      </c>
      <c r="AE18" s="18" t="s">
        <v>62</v>
      </c>
      <c r="AF18" s="18" t="s">
        <v>62</v>
      </c>
      <c r="AG18" s="18" t="s">
        <v>62</v>
      </c>
      <c r="AH18" s="18" t="s">
        <v>62</v>
      </c>
      <c r="AI18" s="18" t="s">
        <v>62</v>
      </c>
      <c r="AJ18" s="18" t="s">
        <v>62</v>
      </c>
      <c r="AK18" s="18" t="s">
        <v>62</v>
      </c>
      <c r="AL18" s="18" t="s">
        <v>62</v>
      </c>
      <c r="AM18" s="18" t="s">
        <v>62</v>
      </c>
      <c r="AN18" s="18" t="s">
        <v>62</v>
      </c>
      <c r="AO18" s="18" t="s">
        <v>62</v>
      </c>
      <c r="AP18" s="18" t="s">
        <v>62</v>
      </c>
      <c r="AQ18" s="18" t="s">
        <v>62</v>
      </c>
      <c r="AR18" s="18" t="s">
        <v>62</v>
      </c>
      <c r="AS18" s="18" t="s">
        <v>62</v>
      </c>
      <c r="AT18" s="18" t="s">
        <v>62</v>
      </c>
      <c r="AU18" s="18" t="s">
        <v>62</v>
      </c>
      <c r="AV18" s="18" t="s">
        <v>62</v>
      </c>
      <c r="AW18" s="18" t="s">
        <v>62</v>
      </c>
      <c r="AX18" s="18" t="s">
        <v>62</v>
      </c>
    </row>
    <row r="19" customHeight="1" spans="1:50">
      <c r="A19" s="17"/>
      <c r="B19" s="18" t="s">
        <v>62</v>
      </c>
      <c r="C19" s="18" t="s">
        <v>62</v>
      </c>
      <c r="D19" s="18" t="s">
        <v>62</v>
      </c>
      <c r="E19" s="18" t="s">
        <v>62</v>
      </c>
      <c r="F19" s="18" t="s">
        <v>62</v>
      </c>
      <c r="G19" s="18" t="s">
        <v>62</v>
      </c>
      <c r="H19" s="18" t="s">
        <v>62</v>
      </c>
      <c r="I19" s="18" t="s">
        <v>62</v>
      </c>
      <c r="J19" s="18" t="s">
        <v>62</v>
      </c>
      <c r="K19" s="18" t="s">
        <v>62</v>
      </c>
      <c r="L19" s="28"/>
      <c r="M19" s="43" t="s">
        <v>72</v>
      </c>
      <c r="N19" s="45">
        <v>400</v>
      </c>
      <c r="O19" s="45">
        <v>17</v>
      </c>
      <c r="P19" s="45">
        <v>17</v>
      </c>
      <c r="Q19" s="45">
        <v>0</v>
      </c>
      <c r="R19" s="45">
        <v>0</v>
      </c>
      <c r="S19" s="45">
        <v>15</v>
      </c>
      <c r="T19" s="45">
        <v>7</v>
      </c>
      <c r="U19" s="60">
        <v>2</v>
      </c>
      <c r="V19" s="60">
        <v>16</v>
      </c>
      <c r="W19" s="58">
        <f t="shared" si="0"/>
        <v>2245</v>
      </c>
      <c r="X19" s="60">
        <v>0</v>
      </c>
      <c r="Y19" s="60">
        <v>2368</v>
      </c>
      <c r="Z19" s="60">
        <v>2245</v>
      </c>
      <c r="AA19" s="60">
        <v>84</v>
      </c>
      <c r="AB19" s="60">
        <v>0</v>
      </c>
      <c r="AC19" s="58">
        <f t="shared" si="1"/>
        <v>2161</v>
      </c>
      <c r="AD19" s="18" t="s">
        <v>62</v>
      </c>
      <c r="AE19" s="18" t="s">
        <v>62</v>
      </c>
      <c r="AF19" s="18" t="s">
        <v>62</v>
      </c>
      <c r="AG19" s="18" t="s">
        <v>62</v>
      </c>
      <c r="AH19" s="18" t="s">
        <v>62</v>
      </c>
      <c r="AI19" s="18" t="s">
        <v>62</v>
      </c>
      <c r="AJ19" s="18" t="s">
        <v>62</v>
      </c>
      <c r="AK19" s="18" t="s">
        <v>62</v>
      </c>
      <c r="AL19" s="18" t="s">
        <v>62</v>
      </c>
      <c r="AM19" s="18" t="s">
        <v>62</v>
      </c>
      <c r="AN19" s="18" t="s">
        <v>62</v>
      </c>
      <c r="AO19" s="18" t="s">
        <v>62</v>
      </c>
      <c r="AP19" s="18" t="s">
        <v>62</v>
      </c>
      <c r="AQ19" s="18" t="s">
        <v>62</v>
      </c>
      <c r="AR19" s="18" t="s">
        <v>62</v>
      </c>
      <c r="AS19" s="18" t="s">
        <v>62</v>
      </c>
      <c r="AT19" s="18" t="s">
        <v>62</v>
      </c>
      <c r="AU19" s="18" t="s">
        <v>62</v>
      </c>
      <c r="AV19" s="18" t="s">
        <v>62</v>
      </c>
      <c r="AW19" s="18" t="s">
        <v>62</v>
      </c>
      <c r="AX19" s="18" t="s">
        <v>62</v>
      </c>
    </row>
    <row r="20" customHeight="1" spans="1:50">
      <c r="A20" s="17"/>
      <c r="B20" s="18" t="s">
        <v>62</v>
      </c>
      <c r="C20" s="18" t="s">
        <v>62</v>
      </c>
      <c r="D20" s="18" t="s">
        <v>62</v>
      </c>
      <c r="E20" s="18" t="s">
        <v>62</v>
      </c>
      <c r="F20" s="18" t="s">
        <v>62</v>
      </c>
      <c r="G20" s="18" t="s">
        <v>62</v>
      </c>
      <c r="H20" s="18" t="s">
        <v>62</v>
      </c>
      <c r="I20" s="18" t="s">
        <v>62</v>
      </c>
      <c r="J20" s="18" t="s">
        <v>62</v>
      </c>
      <c r="K20" s="18" t="s">
        <v>62</v>
      </c>
      <c r="L20" s="28"/>
      <c r="M20" s="43" t="s">
        <v>73</v>
      </c>
      <c r="N20" s="46">
        <v>300</v>
      </c>
      <c r="O20" s="46">
        <v>18</v>
      </c>
      <c r="P20" s="45">
        <v>17</v>
      </c>
      <c r="Q20" s="45">
        <v>0</v>
      </c>
      <c r="R20" s="45">
        <v>1</v>
      </c>
      <c r="S20" s="45">
        <v>18</v>
      </c>
      <c r="T20" s="45">
        <v>40</v>
      </c>
      <c r="U20" s="60">
        <v>22</v>
      </c>
      <c r="V20" s="60">
        <v>475</v>
      </c>
      <c r="W20" s="58">
        <f t="shared" si="0"/>
        <v>17604</v>
      </c>
      <c r="X20" s="60">
        <v>1664</v>
      </c>
      <c r="Y20" s="60">
        <v>16158</v>
      </c>
      <c r="Z20" s="60">
        <v>15940</v>
      </c>
      <c r="AA20" s="60">
        <v>574</v>
      </c>
      <c r="AB20" s="60">
        <v>0</v>
      </c>
      <c r="AC20" s="58">
        <f t="shared" si="1"/>
        <v>15366</v>
      </c>
      <c r="AD20" s="18" t="s">
        <v>62</v>
      </c>
      <c r="AE20" s="18" t="s">
        <v>62</v>
      </c>
      <c r="AF20" s="18" t="s">
        <v>62</v>
      </c>
      <c r="AG20" s="18" t="s">
        <v>62</v>
      </c>
      <c r="AH20" s="18" t="s">
        <v>62</v>
      </c>
      <c r="AI20" s="18" t="s">
        <v>62</v>
      </c>
      <c r="AJ20" s="18" t="s">
        <v>62</v>
      </c>
      <c r="AK20" s="18" t="s">
        <v>62</v>
      </c>
      <c r="AL20" s="18" t="s">
        <v>62</v>
      </c>
      <c r="AM20" s="18" t="s">
        <v>62</v>
      </c>
      <c r="AN20" s="18" t="s">
        <v>62</v>
      </c>
      <c r="AO20" s="18" t="s">
        <v>62</v>
      </c>
      <c r="AP20" s="18" t="s">
        <v>62</v>
      </c>
      <c r="AQ20" s="18" t="s">
        <v>62</v>
      </c>
      <c r="AR20" s="18" t="s">
        <v>62</v>
      </c>
      <c r="AS20" s="18" t="s">
        <v>62</v>
      </c>
      <c r="AT20" s="18" t="s">
        <v>62</v>
      </c>
      <c r="AU20" s="18" t="s">
        <v>62</v>
      </c>
      <c r="AV20" s="18" t="s">
        <v>62</v>
      </c>
      <c r="AW20" s="18" t="s">
        <v>62</v>
      </c>
      <c r="AX20" s="18" t="s">
        <v>62</v>
      </c>
    </row>
    <row r="21" customHeight="1" spans="1:50">
      <c r="A21" s="17"/>
      <c r="B21" s="18" t="s">
        <v>62</v>
      </c>
      <c r="C21" s="18" t="s">
        <v>62</v>
      </c>
      <c r="D21" s="18" t="s">
        <v>62</v>
      </c>
      <c r="E21" s="18" t="s">
        <v>62</v>
      </c>
      <c r="F21" s="18" t="s">
        <v>62</v>
      </c>
      <c r="G21" s="18" t="s">
        <v>62</v>
      </c>
      <c r="H21" s="18" t="s">
        <v>62</v>
      </c>
      <c r="I21" s="18" t="s">
        <v>62</v>
      </c>
      <c r="J21" s="18" t="s">
        <v>62</v>
      </c>
      <c r="K21" s="18" t="s">
        <v>62</v>
      </c>
      <c r="L21" s="28"/>
      <c r="M21" s="47" t="s">
        <v>74</v>
      </c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18" t="s">
        <v>62</v>
      </c>
      <c r="AE21" s="18" t="s">
        <v>62</v>
      </c>
      <c r="AF21" s="18" t="s">
        <v>62</v>
      </c>
      <c r="AG21" s="18" t="s">
        <v>62</v>
      </c>
      <c r="AH21" s="18" t="s">
        <v>62</v>
      </c>
      <c r="AI21" s="18" t="s">
        <v>62</v>
      </c>
      <c r="AJ21" s="18" t="s">
        <v>62</v>
      </c>
      <c r="AK21" s="18" t="s">
        <v>62</v>
      </c>
      <c r="AL21" s="18" t="s">
        <v>62</v>
      </c>
      <c r="AM21" s="18" t="s">
        <v>62</v>
      </c>
      <c r="AN21" s="18" t="s">
        <v>62</v>
      </c>
      <c r="AO21" s="18" t="s">
        <v>62</v>
      </c>
      <c r="AP21" s="18" t="s">
        <v>62</v>
      </c>
      <c r="AQ21" s="18" t="s">
        <v>62</v>
      </c>
      <c r="AR21" s="18" t="s">
        <v>62</v>
      </c>
      <c r="AS21" s="18" t="s">
        <v>62</v>
      </c>
      <c r="AT21" s="18" t="s">
        <v>62</v>
      </c>
      <c r="AU21" s="18" t="s">
        <v>62</v>
      </c>
      <c r="AV21" s="18" t="s">
        <v>62</v>
      </c>
      <c r="AW21" s="18" t="s">
        <v>62</v>
      </c>
      <c r="AX21" s="18" t="s">
        <v>62</v>
      </c>
    </row>
    <row r="22" customHeight="1" spans="1:50">
      <c r="A22" s="17"/>
      <c r="B22" s="18" t="s">
        <v>62</v>
      </c>
      <c r="C22" s="18" t="s">
        <v>62</v>
      </c>
      <c r="D22" s="18" t="s">
        <v>62</v>
      </c>
      <c r="E22" s="18" t="s">
        <v>62</v>
      </c>
      <c r="F22" s="18" t="s">
        <v>62</v>
      </c>
      <c r="G22" s="18" t="s">
        <v>62</v>
      </c>
      <c r="H22" s="18" t="s">
        <v>62</v>
      </c>
      <c r="I22" s="18" t="s">
        <v>62</v>
      </c>
      <c r="J22" s="18" t="s">
        <v>62</v>
      </c>
      <c r="K22" s="18" t="s">
        <v>62</v>
      </c>
      <c r="L22" s="29"/>
      <c r="M22" s="48" t="s">
        <v>74</v>
      </c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18" t="s">
        <v>62</v>
      </c>
      <c r="AE22" s="18" t="s">
        <v>62</v>
      </c>
      <c r="AF22" s="18" t="s">
        <v>62</v>
      </c>
      <c r="AG22" s="18" t="s">
        <v>62</v>
      </c>
      <c r="AH22" s="18" t="s">
        <v>62</v>
      </c>
      <c r="AI22" s="18" t="s">
        <v>62</v>
      </c>
      <c r="AJ22" s="18" t="s">
        <v>62</v>
      </c>
      <c r="AK22" s="18" t="s">
        <v>62</v>
      </c>
      <c r="AL22" s="18" t="s">
        <v>62</v>
      </c>
      <c r="AM22" s="18" t="s">
        <v>62</v>
      </c>
      <c r="AN22" s="18" t="s">
        <v>62</v>
      </c>
      <c r="AO22" s="18" t="s">
        <v>62</v>
      </c>
      <c r="AP22" s="18" t="s">
        <v>62</v>
      </c>
      <c r="AQ22" s="18" t="s">
        <v>62</v>
      </c>
      <c r="AR22" s="18" t="s">
        <v>62</v>
      </c>
      <c r="AS22" s="18" t="s">
        <v>62</v>
      </c>
      <c r="AT22" s="18" t="s">
        <v>62</v>
      </c>
      <c r="AU22" s="18" t="s">
        <v>62</v>
      </c>
      <c r="AV22" s="18" t="s">
        <v>62</v>
      </c>
      <c r="AW22" s="18" t="s">
        <v>62</v>
      </c>
      <c r="AX22" s="18" t="s">
        <v>62</v>
      </c>
    </row>
    <row r="23" customHeight="1" spans="1:50">
      <c r="A23" s="17"/>
      <c r="B23" s="18" t="s">
        <v>62</v>
      </c>
      <c r="C23" s="18" t="s">
        <v>62</v>
      </c>
      <c r="D23" s="18" t="s">
        <v>62</v>
      </c>
      <c r="E23" s="18" t="s">
        <v>62</v>
      </c>
      <c r="F23" s="18" t="s">
        <v>62</v>
      </c>
      <c r="G23" s="18" t="s">
        <v>62</v>
      </c>
      <c r="H23" s="18" t="s">
        <v>62</v>
      </c>
      <c r="I23" s="18" t="s">
        <v>62</v>
      </c>
      <c r="J23" s="18" t="s">
        <v>62</v>
      </c>
      <c r="K23" s="18" t="s">
        <v>62</v>
      </c>
      <c r="L23" s="30" t="s">
        <v>75</v>
      </c>
      <c r="M23" s="49" t="s">
        <v>76</v>
      </c>
      <c r="N23" s="46">
        <v>360</v>
      </c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18" t="s">
        <v>62</v>
      </c>
      <c r="AE23" s="18" t="s">
        <v>62</v>
      </c>
      <c r="AF23" s="18" t="s">
        <v>62</v>
      </c>
      <c r="AG23" s="18" t="s">
        <v>62</v>
      </c>
      <c r="AH23" s="18" t="s">
        <v>62</v>
      </c>
      <c r="AI23" s="18" t="s">
        <v>62</v>
      </c>
      <c r="AJ23" s="18" t="s">
        <v>62</v>
      </c>
      <c r="AK23" s="18" t="s">
        <v>62</v>
      </c>
      <c r="AL23" s="18" t="s">
        <v>62</v>
      </c>
      <c r="AM23" s="18" t="s">
        <v>62</v>
      </c>
      <c r="AN23" s="18" t="s">
        <v>62</v>
      </c>
      <c r="AO23" s="18" t="s">
        <v>62</v>
      </c>
      <c r="AP23" s="18" t="s">
        <v>62</v>
      </c>
      <c r="AQ23" s="18" t="s">
        <v>62</v>
      </c>
      <c r="AR23" s="18" t="s">
        <v>62</v>
      </c>
      <c r="AS23" s="18" t="s">
        <v>62</v>
      </c>
      <c r="AT23" s="18" t="s">
        <v>62</v>
      </c>
      <c r="AU23" s="18" t="s">
        <v>62</v>
      </c>
      <c r="AV23" s="18" t="s">
        <v>62</v>
      </c>
      <c r="AW23" s="18" t="s">
        <v>62</v>
      </c>
      <c r="AX23" s="18" t="s">
        <v>62</v>
      </c>
    </row>
    <row r="24" customHeight="1" spans="1:50">
      <c r="A24" s="17"/>
      <c r="B24" s="18" t="s">
        <v>62</v>
      </c>
      <c r="C24" s="18" t="s">
        <v>62</v>
      </c>
      <c r="D24" s="18" t="s">
        <v>62</v>
      </c>
      <c r="E24" s="18" t="s">
        <v>62</v>
      </c>
      <c r="F24" s="18" t="s">
        <v>62</v>
      </c>
      <c r="G24" s="18" t="s">
        <v>62</v>
      </c>
      <c r="H24" s="18" t="s">
        <v>62</v>
      </c>
      <c r="I24" s="18" t="s">
        <v>62</v>
      </c>
      <c r="J24" s="18" t="s">
        <v>62</v>
      </c>
      <c r="K24" s="18" t="s">
        <v>62</v>
      </c>
      <c r="L24" s="30"/>
      <c r="M24" s="48" t="s">
        <v>77</v>
      </c>
      <c r="N24" s="46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0"/>
      <c r="AC24" s="50"/>
      <c r="AD24" s="18" t="s">
        <v>62</v>
      </c>
      <c r="AE24" s="18" t="s">
        <v>62</v>
      </c>
      <c r="AF24" s="18" t="s">
        <v>62</v>
      </c>
      <c r="AG24" s="18" t="s">
        <v>62</v>
      </c>
      <c r="AH24" s="18" t="s">
        <v>62</v>
      </c>
      <c r="AI24" s="18" t="s">
        <v>62</v>
      </c>
      <c r="AJ24" s="18" t="s">
        <v>62</v>
      </c>
      <c r="AK24" s="18" t="s">
        <v>62</v>
      </c>
      <c r="AL24" s="18" t="s">
        <v>62</v>
      </c>
      <c r="AM24" s="18" t="s">
        <v>62</v>
      </c>
      <c r="AN24" s="18" t="s">
        <v>62</v>
      </c>
      <c r="AO24" s="18" t="s">
        <v>62</v>
      </c>
      <c r="AP24" s="18" t="s">
        <v>62</v>
      </c>
      <c r="AQ24" s="18" t="s">
        <v>62</v>
      </c>
      <c r="AR24" s="18" t="s">
        <v>62</v>
      </c>
      <c r="AS24" s="18" t="s">
        <v>62</v>
      </c>
      <c r="AT24" s="18" t="s">
        <v>62</v>
      </c>
      <c r="AU24" s="18" t="s">
        <v>62</v>
      </c>
      <c r="AV24" s="18" t="s">
        <v>62</v>
      </c>
      <c r="AW24" s="18" t="s">
        <v>62</v>
      </c>
      <c r="AX24" s="18" t="s">
        <v>62</v>
      </c>
    </row>
    <row r="25" customHeight="1" spans="1:50">
      <c r="A25" s="17"/>
      <c r="B25" s="18" t="s">
        <v>62</v>
      </c>
      <c r="C25" s="18" t="s">
        <v>62</v>
      </c>
      <c r="D25" s="18" t="s">
        <v>62</v>
      </c>
      <c r="E25" s="18" t="s">
        <v>62</v>
      </c>
      <c r="F25" s="18" t="s">
        <v>62</v>
      </c>
      <c r="G25" s="18" t="s">
        <v>62</v>
      </c>
      <c r="H25" s="18" t="s">
        <v>62</v>
      </c>
      <c r="I25" s="18" t="s">
        <v>62</v>
      </c>
      <c r="J25" s="18" t="s">
        <v>62</v>
      </c>
      <c r="K25" s="18" t="s">
        <v>62</v>
      </c>
      <c r="L25" s="30"/>
      <c r="M25" s="48" t="s">
        <v>78</v>
      </c>
      <c r="N25" s="46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18" t="s">
        <v>62</v>
      </c>
      <c r="AE25" s="18" t="s">
        <v>62</v>
      </c>
      <c r="AF25" s="18" t="s">
        <v>62</v>
      </c>
      <c r="AG25" s="18" t="s">
        <v>62</v>
      </c>
      <c r="AH25" s="18" t="s">
        <v>62</v>
      </c>
      <c r="AI25" s="18" t="s">
        <v>62</v>
      </c>
      <c r="AJ25" s="18" t="s">
        <v>62</v>
      </c>
      <c r="AK25" s="18" t="s">
        <v>62</v>
      </c>
      <c r="AL25" s="18" t="s">
        <v>62</v>
      </c>
      <c r="AM25" s="18" t="s">
        <v>62</v>
      </c>
      <c r="AN25" s="18" t="s">
        <v>62</v>
      </c>
      <c r="AO25" s="18" t="s">
        <v>62</v>
      </c>
      <c r="AP25" s="18" t="s">
        <v>62</v>
      </c>
      <c r="AQ25" s="18" t="s">
        <v>62</v>
      </c>
      <c r="AR25" s="18" t="s">
        <v>62</v>
      </c>
      <c r="AS25" s="18" t="s">
        <v>62</v>
      </c>
      <c r="AT25" s="18" t="s">
        <v>62</v>
      </c>
      <c r="AU25" s="18" t="s">
        <v>62</v>
      </c>
      <c r="AV25" s="18" t="s">
        <v>62</v>
      </c>
      <c r="AW25" s="18" t="s">
        <v>62</v>
      </c>
      <c r="AX25" s="18" t="s">
        <v>62</v>
      </c>
    </row>
    <row r="26" customHeight="1" spans="1:50">
      <c r="A26" s="17"/>
      <c r="B26" s="18" t="s">
        <v>62</v>
      </c>
      <c r="C26" s="18" t="s">
        <v>62</v>
      </c>
      <c r="D26" s="18" t="s">
        <v>62</v>
      </c>
      <c r="E26" s="18" t="s">
        <v>62</v>
      </c>
      <c r="F26" s="18" t="s">
        <v>62</v>
      </c>
      <c r="G26" s="18" t="s">
        <v>62</v>
      </c>
      <c r="H26" s="18" t="s">
        <v>62</v>
      </c>
      <c r="I26" s="18" t="s">
        <v>62</v>
      </c>
      <c r="J26" s="18" t="s">
        <v>62</v>
      </c>
      <c r="K26" s="18" t="s">
        <v>62</v>
      </c>
      <c r="L26" s="30"/>
      <c r="M26" s="49" t="s">
        <v>79</v>
      </c>
      <c r="N26" s="46">
        <v>150</v>
      </c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18" t="s">
        <v>62</v>
      </c>
      <c r="AE26" s="18" t="s">
        <v>62</v>
      </c>
      <c r="AF26" s="18" t="s">
        <v>62</v>
      </c>
      <c r="AG26" s="18" t="s">
        <v>62</v>
      </c>
      <c r="AH26" s="18" t="s">
        <v>62</v>
      </c>
      <c r="AI26" s="18" t="s">
        <v>62</v>
      </c>
      <c r="AJ26" s="18" t="s">
        <v>62</v>
      </c>
      <c r="AK26" s="18" t="s">
        <v>62</v>
      </c>
      <c r="AL26" s="18" t="s">
        <v>62</v>
      </c>
      <c r="AM26" s="18" t="s">
        <v>62</v>
      </c>
      <c r="AN26" s="18" t="s">
        <v>62</v>
      </c>
      <c r="AO26" s="18" t="s">
        <v>62</v>
      </c>
      <c r="AP26" s="18" t="s">
        <v>62</v>
      </c>
      <c r="AQ26" s="18" t="s">
        <v>62</v>
      </c>
      <c r="AR26" s="18" t="s">
        <v>62</v>
      </c>
      <c r="AS26" s="18" t="s">
        <v>62</v>
      </c>
      <c r="AT26" s="18" t="s">
        <v>62</v>
      </c>
      <c r="AU26" s="18" t="s">
        <v>62</v>
      </c>
      <c r="AV26" s="18" t="s">
        <v>62</v>
      </c>
      <c r="AW26" s="18" t="s">
        <v>62</v>
      </c>
      <c r="AX26" s="18" t="s">
        <v>62</v>
      </c>
    </row>
    <row r="27" customHeight="1" spans="1:50">
      <c r="A27" s="17"/>
      <c r="B27" s="18" t="s">
        <v>62</v>
      </c>
      <c r="C27" s="18" t="s">
        <v>62</v>
      </c>
      <c r="D27" s="18" t="s">
        <v>62</v>
      </c>
      <c r="E27" s="18" t="s">
        <v>62</v>
      </c>
      <c r="F27" s="18" t="s">
        <v>62</v>
      </c>
      <c r="G27" s="18" t="s">
        <v>62</v>
      </c>
      <c r="H27" s="18" t="s">
        <v>62</v>
      </c>
      <c r="I27" s="18" t="s">
        <v>62</v>
      </c>
      <c r="J27" s="18" t="s">
        <v>62</v>
      </c>
      <c r="K27" s="18" t="s">
        <v>62</v>
      </c>
      <c r="L27" s="30"/>
      <c r="M27" s="49" t="s">
        <v>80</v>
      </c>
      <c r="N27" s="46">
        <v>190</v>
      </c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0"/>
      <c r="AC27" s="50"/>
      <c r="AD27" s="18" t="s">
        <v>62</v>
      </c>
      <c r="AE27" s="18" t="s">
        <v>62</v>
      </c>
      <c r="AF27" s="18" t="s">
        <v>62</v>
      </c>
      <c r="AG27" s="18" t="s">
        <v>62</v>
      </c>
      <c r="AH27" s="18" t="s">
        <v>62</v>
      </c>
      <c r="AI27" s="18" t="s">
        <v>62</v>
      </c>
      <c r="AJ27" s="18" t="s">
        <v>62</v>
      </c>
      <c r="AK27" s="18" t="s">
        <v>62</v>
      </c>
      <c r="AL27" s="18" t="s">
        <v>62</v>
      </c>
      <c r="AM27" s="18" t="s">
        <v>62</v>
      </c>
      <c r="AN27" s="18" t="s">
        <v>62</v>
      </c>
      <c r="AO27" s="18" t="s">
        <v>62</v>
      </c>
      <c r="AP27" s="18" t="s">
        <v>62</v>
      </c>
      <c r="AQ27" s="18" t="s">
        <v>62</v>
      </c>
      <c r="AR27" s="18" t="s">
        <v>62</v>
      </c>
      <c r="AS27" s="18" t="s">
        <v>62</v>
      </c>
      <c r="AT27" s="18" t="s">
        <v>62</v>
      </c>
      <c r="AU27" s="18" t="s">
        <v>62</v>
      </c>
      <c r="AV27" s="18" t="s">
        <v>62</v>
      </c>
      <c r="AW27" s="18" t="s">
        <v>62</v>
      </c>
      <c r="AX27" s="18" t="s">
        <v>62</v>
      </c>
    </row>
    <row r="28" customHeight="1" spans="1:50">
      <c r="A28" s="17"/>
      <c r="B28" s="18" t="s">
        <v>62</v>
      </c>
      <c r="C28" s="18" t="s">
        <v>62</v>
      </c>
      <c r="D28" s="18" t="s">
        <v>62</v>
      </c>
      <c r="E28" s="18" t="s">
        <v>62</v>
      </c>
      <c r="F28" s="18" t="s">
        <v>62</v>
      </c>
      <c r="G28" s="18" t="s">
        <v>62</v>
      </c>
      <c r="H28" s="18" t="s">
        <v>62</v>
      </c>
      <c r="I28" s="18" t="s">
        <v>62</v>
      </c>
      <c r="J28" s="18" t="s">
        <v>62</v>
      </c>
      <c r="K28" s="18" t="s">
        <v>62</v>
      </c>
      <c r="L28" s="31"/>
      <c r="M28" s="48" t="s">
        <v>81</v>
      </c>
      <c r="N28" s="46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0"/>
      <c r="AC28" s="50"/>
      <c r="AD28" s="18" t="s">
        <v>62</v>
      </c>
      <c r="AE28" s="18" t="s">
        <v>62</v>
      </c>
      <c r="AF28" s="18" t="s">
        <v>62</v>
      </c>
      <c r="AG28" s="18" t="s">
        <v>62</v>
      </c>
      <c r="AH28" s="18" t="s">
        <v>62</v>
      </c>
      <c r="AI28" s="18" t="s">
        <v>62</v>
      </c>
      <c r="AJ28" s="18" t="s">
        <v>62</v>
      </c>
      <c r="AK28" s="18" t="s">
        <v>62</v>
      </c>
      <c r="AL28" s="18" t="s">
        <v>62</v>
      </c>
      <c r="AM28" s="18" t="s">
        <v>62</v>
      </c>
      <c r="AN28" s="18" t="s">
        <v>62</v>
      </c>
      <c r="AO28" s="18" t="s">
        <v>62</v>
      </c>
      <c r="AP28" s="18" t="s">
        <v>62</v>
      </c>
      <c r="AQ28" s="18" t="s">
        <v>62</v>
      </c>
      <c r="AR28" s="18" t="s">
        <v>62</v>
      </c>
      <c r="AS28" s="18" t="s">
        <v>62</v>
      </c>
      <c r="AT28" s="18" t="s">
        <v>62</v>
      </c>
      <c r="AU28" s="18" t="s">
        <v>62</v>
      </c>
      <c r="AV28" s="18" t="s">
        <v>62</v>
      </c>
      <c r="AW28" s="18" t="s">
        <v>62</v>
      </c>
      <c r="AX28" s="18" t="s">
        <v>62</v>
      </c>
    </row>
    <row r="29" customHeight="1" spans="1:50">
      <c r="A29" s="17"/>
      <c r="B29" s="18" t="s">
        <v>62</v>
      </c>
      <c r="C29" s="18" t="s">
        <v>62</v>
      </c>
      <c r="D29" s="18" t="s">
        <v>62</v>
      </c>
      <c r="E29" s="18" t="s">
        <v>62</v>
      </c>
      <c r="F29" s="18" t="s">
        <v>62</v>
      </c>
      <c r="G29" s="18" t="s">
        <v>62</v>
      </c>
      <c r="H29" s="18" t="s">
        <v>62</v>
      </c>
      <c r="I29" s="18" t="s">
        <v>62</v>
      </c>
      <c r="J29" s="18" t="s">
        <v>62</v>
      </c>
      <c r="K29" s="18" t="s">
        <v>62</v>
      </c>
      <c r="L29" s="32" t="s">
        <v>82</v>
      </c>
      <c r="M29" s="48" t="s">
        <v>83</v>
      </c>
      <c r="N29" s="46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0"/>
      <c r="AD29" s="18" t="s">
        <v>62</v>
      </c>
      <c r="AE29" s="18" t="s">
        <v>62</v>
      </c>
      <c r="AF29" s="18" t="s">
        <v>62</v>
      </c>
      <c r="AG29" s="18" t="s">
        <v>62</v>
      </c>
      <c r="AH29" s="18" t="s">
        <v>62</v>
      </c>
      <c r="AI29" s="18" t="s">
        <v>62</v>
      </c>
      <c r="AJ29" s="18" t="s">
        <v>62</v>
      </c>
      <c r="AK29" s="18" t="s">
        <v>62</v>
      </c>
      <c r="AL29" s="18" t="s">
        <v>62</v>
      </c>
      <c r="AM29" s="18" t="s">
        <v>62</v>
      </c>
      <c r="AN29" s="18" t="s">
        <v>62</v>
      </c>
      <c r="AO29" s="18" t="s">
        <v>62</v>
      </c>
      <c r="AP29" s="18" t="s">
        <v>62</v>
      </c>
      <c r="AQ29" s="18" t="s">
        <v>62</v>
      </c>
      <c r="AR29" s="18" t="s">
        <v>62</v>
      </c>
      <c r="AS29" s="18" t="s">
        <v>62</v>
      </c>
      <c r="AT29" s="18" t="s">
        <v>62</v>
      </c>
      <c r="AU29" s="18" t="s">
        <v>62</v>
      </c>
      <c r="AV29" s="18" t="s">
        <v>62</v>
      </c>
      <c r="AW29" s="18" t="s">
        <v>62</v>
      </c>
      <c r="AX29" s="18" t="s">
        <v>62</v>
      </c>
    </row>
    <row r="30" customHeight="1" spans="1:50">
      <c r="A30" s="17"/>
      <c r="B30" s="18" t="s">
        <v>62</v>
      </c>
      <c r="C30" s="18" t="s">
        <v>62</v>
      </c>
      <c r="D30" s="18" t="s">
        <v>62</v>
      </c>
      <c r="E30" s="18" t="s">
        <v>62</v>
      </c>
      <c r="F30" s="18" t="s">
        <v>62</v>
      </c>
      <c r="G30" s="18" t="s">
        <v>62</v>
      </c>
      <c r="H30" s="18" t="s">
        <v>62</v>
      </c>
      <c r="I30" s="18" t="s">
        <v>62</v>
      </c>
      <c r="J30" s="18" t="s">
        <v>62</v>
      </c>
      <c r="K30" s="18" t="s">
        <v>62</v>
      </c>
      <c r="L30" s="32"/>
      <c r="M30" s="48" t="s">
        <v>84</v>
      </c>
      <c r="N30" s="46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18" t="s">
        <v>62</v>
      </c>
      <c r="AE30" s="18" t="s">
        <v>62</v>
      </c>
      <c r="AF30" s="18" t="s">
        <v>62</v>
      </c>
      <c r="AG30" s="18" t="s">
        <v>62</v>
      </c>
      <c r="AH30" s="18" t="s">
        <v>62</v>
      </c>
      <c r="AI30" s="18" t="s">
        <v>62</v>
      </c>
      <c r="AJ30" s="18" t="s">
        <v>62</v>
      </c>
      <c r="AK30" s="18" t="s">
        <v>62</v>
      </c>
      <c r="AL30" s="18" t="s">
        <v>62</v>
      </c>
      <c r="AM30" s="18" t="s">
        <v>62</v>
      </c>
      <c r="AN30" s="18" t="s">
        <v>62</v>
      </c>
      <c r="AO30" s="18" t="s">
        <v>62</v>
      </c>
      <c r="AP30" s="18" t="s">
        <v>62</v>
      </c>
      <c r="AQ30" s="18" t="s">
        <v>62</v>
      </c>
      <c r="AR30" s="18" t="s">
        <v>62</v>
      </c>
      <c r="AS30" s="18" t="s">
        <v>62</v>
      </c>
      <c r="AT30" s="18" t="s">
        <v>62</v>
      </c>
      <c r="AU30" s="18" t="s">
        <v>62</v>
      </c>
      <c r="AV30" s="18" t="s">
        <v>62</v>
      </c>
      <c r="AW30" s="18" t="s">
        <v>62</v>
      </c>
      <c r="AX30" s="18" t="s">
        <v>62</v>
      </c>
    </row>
    <row r="31" customHeight="1" spans="1:50">
      <c r="A31" s="17"/>
      <c r="B31" s="18" t="s">
        <v>62</v>
      </c>
      <c r="C31" s="18" t="s">
        <v>62</v>
      </c>
      <c r="D31" s="18" t="s">
        <v>62</v>
      </c>
      <c r="E31" s="18" t="s">
        <v>62</v>
      </c>
      <c r="F31" s="18" t="s">
        <v>62</v>
      </c>
      <c r="G31" s="18" t="s">
        <v>62</v>
      </c>
      <c r="H31" s="18" t="s">
        <v>62</v>
      </c>
      <c r="I31" s="18" t="s">
        <v>62</v>
      </c>
      <c r="J31" s="18" t="s">
        <v>62</v>
      </c>
      <c r="K31" s="18" t="s">
        <v>62</v>
      </c>
      <c r="L31" s="32"/>
      <c r="M31" s="48" t="s">
        <v>85</v>
      </c>
      <c r="N31" s="46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0"/>
      <c r="AC31" s="50"/>
      <c r="AD31" s="18" t="s">
        <v>62</v>
      </c>
      <c r="AE31" s="18" t="s">
        <v>62</v>
      </c>
      <c r="AF31" s="18" t="s">
        <v>62</v>
      </c>
      <c r="AG31" s="18" t="s">
        <v>62</v>
      </c>
      <c r="AH31" s="18" t="s">
        <v>62</v>
      </c>
      <c r="AI31" s="18" t="s">
        <v>62</v>
      </c>
      <c r="AJ31" s="18" t="s">
        <v>62</v>
      </c>
      <c r="AK31" s="18" t="s">
        <v>62</v>
      </c>
      <c r="AL31" s="18" t="s">
        <v>62</v>
      </c>
      <c r="AM31" s="18" t="s">
        <v>62</v>
      </c>
      <c r="AN31" s="18" t="s">
        <v>62</v>
      </c>
      <c r="AO31" s="18" t="s">
        <v>62</v>
      </c>
      <c r="AP31" s="18" t="s">
        <v>62</v>
      </c>
      <c r="AQ31" s="18" t="s">
        <v>62</v>
      </c>
      <c r="AR31" s="18" t="s">
        <v>62</v>
      </c>
      <c r="AS31" s="18" t="s">
        <v>62</v>
      </c>
      <c r="AT31" s="18" t="s">
        <v>62</v>
      </c>
      <c r="AU31" s="18" t="s">
        <v>62</v>
      </c>
      <c r="AV31" s="18" t="s">
        <v>62</v>
      </c>
      <c r="AW31" s="18" t="s">
        <v>62</v>
      </c>
      <c r="AX31" s="18" t="s">
        <v>62</v>
      </c>
    </row>
    <row r="32" customHeight="1" spans="1:50">
      <c r="A32" s="17"/>
      <c r="B32" s="18" t="s">
        <v>62</v>
      </c>
      <c r="C32" s="18" t="s">
        <v>62</v>
      </c>
      <c r="D32" s="18" t="s">
        <v>62</v>
      </c>
      <c r="E32" s="18" t="s">
        <v>62</v>
      </c>
      <c r="F32" s="18" t="s">
        <v>62</v>
      </c>
      <c r="G32" s="18" t="s">
        <v>62</v>
      </c>
      <c r="H32" s="18" t="s">
        <v>62</v>
      </c>
      <c r="I32" s="18" t="s">
        <v>62</v>
      </c>
      <c r="J32" s="18" t="s">
        <v>62</v>
      </c>
      <c r="K32" s="18" t="s">
        <v>62</v>
      </c>
      <c r="L32" s="32"/>
      <c r="M32" s="48" t="s">
        <v>86</v>
      </c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18" t="s">
        <v>62</v>
      </c>
      <c r="AE32" s="18" t="s">
        <v>62</v>
      </c>
      <c r="AF32" s="18" t="s">
        <v>62</v>
      </c>
      <c r="AG32" s="18" t="s">
        <v>62</v>
      </c>
      <c r="AH32" s="18" t="s">
        <v>62</v>
      </c>
      <c r="AI32" s="18" t="s">
        <v>62</v>
      </c>
      <c r="AJ32" s="18" t="s">
        <v>62</v>
      </c>
      <c r="AK32" s="18" t="s">
        <v>62</v>
      </c>
      <c r="AL32" s="18" t="s">
        <v>62</v>
      </c>
      <c r="AM32" s="18" t="s">
        <v>62</v>
      </c>
      <c r="AN32" s="18" t="s">
        <v>62</v>
      </c>
      <c r="AO32" s="18" t="s">
        <v>62</v>
      </c>
      <c r="AP32" s="18" t="s">
        <v>62</v>
      </c>
      <c r="AQ32" s="18" t="s">
        <v>62</v>
      </c>
      <c r="AR32" s="18" t="s">
        <v>62</v>
      </c>
      <c r="AS32" s="18" t="s">
        <v>62</v>
      </c>
      <c r="AT32" s="18" t="s">
        <v>62</v>
      </c>
      <c r="AU32" s="18" t="s">
        <v>62</v>
      </c>
      <c r="AV32" s="18" t="s">
        <v>62</v>
      </c>
      <c r="AW32" s="18" t="s">
        <v>62</v>
      </c>
      <c r="AX32" s="18" t="s">
        <v>62</v>
      </c>
    </row>
    <row r="33" customHeight="1" spans="1:50">
      <c r="A33" s="17"/>
      <c r="B33" s="18" t="s">
        <v>62</v>
      </c>
      <c r="C33" s="18" t="s">
        <v>62</v>
      </c>
      <c r="D33" s="18" t="s">
        <v>62</v>
      </c>
      <c r="E33" s="18" t="s">
        <v>62</v>
      </c>
      <c r="F33" s="18" t="s">
        <v>62</v>
      </c>
      <c r="G33" s="18" t="s">
        <v>62</v>
      </c>
      <c r="H33" s="18" t="s">
        <v>62</v>
      </c>
      <c r="I33" s="18" t="s">
        <v>62</v>
      </c>
      <c r="J33" s="18" t="s">
        <v>62</v>
      </c>
      <c r="K33" s="18" t="s">
        <v>62</v>
      </c>
      <c r="L33" s="33" t="s">
        <v>87</v>
      </c>
      <c r="M33" s="49" t="s">
        <v>88</v>
      </c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18" t="s">
        <v>62</v>
      </c>
      <c r="AE33" s="18" t="s">
        <v>62</v>
      </c>
      <c r="AF33" s="18" t="s">
        <v>62</v>
      </c>
      <c r="AG33" s="18" t="s">
        <v>62</v>
      </c>
      <c r="AH33" s="18" t="s">
        <v>62</v>
      </c>
      <c r="AI33" s="18" t="s">
        <v>62</v>
      </c>
      <c r="AJ33" s="18" t="s">
        <v>62</v>
      </c>
      <c r="AK33" s="18" t="s">
        <v>62</v>
      </c>
      <c r="AL33" s="18" t="s">
        <v>62</v>
      </c>
      <c r="AM33" s="18" t="s">
        <v>62</v>
      </c>
      <c r="AN33" s="18" t="s">
        <v>62</v>
      </c>
      <c r="AO33" s="18" t="s">
        <v>62</v>
      </c>
      <c r="AP33" s="18" t="s">
        <v>62</v>
      </c>
      <c r="AQ33" s="18" t="s">
        <v>62</v>
      </c>
      <c r="AR33" s="18" t="s">
        <v>62</v>
      </c>
      <c r="AS33" s="18" t="s">
        <v>62</v>
      </c>
      <c r="AT33" s="18" t="s">
        <v>62</v>
      </c>
      <c r="AU33" s="18" t="s">
        <v>62</v>
      </c>
      <c r="AV33" s="18" t="s">
        <v>62</v>
      </c>
      <c r="AW33" s="18" t="s">
        <v>62</v>
      </c>
      <c r="AX33" s="18" t="s">
        <v>62</v>
      </c>
    </row>
    <row r="34" customHeight="1" spans="1:50">
      <c r="A34" s="17"/>
      <c r="B34" s="18" t="s">
        <v>62</v>
      </c>
      <c r="C34" s="18" t="s">
        <v>62</v>
      </c>
      <c r="D34" s="18" t="s">
        <v>62</v>
      </c>
      <c r="E34" s="18" t="s">
        <v>62</v>
      </c>
      <c r="F34" s="18" t="s">
        <v>62</v>
      </c>
      <c r="G34" s="18" t="s">
        <v>62</v>
      </c>
      <c r="H34" s="18" t="s">
        <v>62</v>
      </c>
      <c r="I34" s="18" t="s">
        <v>62</v>
      </c>
      <c r="J34" s="18" t="s">
        <v>62</v>
      </c>
      <c r="K34" s="18" t="s">
        <v>62</v>
      </c>
      <c r="L34" s="33"/>
      <c r="M34" s="48" t="s">
        <v>89</v>
      </c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  <c r="AD34" s="18" t="s">
        <v>62</v>
      </c>
      <c r="AE34" s="18" t="s">
        <v>62</v>
      </c>
      <c r="AF34" s="18" t="s">
        <v>62</v>
      </c>
      <c r="AG34" s="18" t="s">
        <v>62</v>
      </c>
      <c r="AH34" s="18" t="s">
        <v>62</v>
      </c>
      <c r="AI34" s="18" t="s">
        <v>62</v>
      </c>
      <c r="AJ34" s="18" t="s">
        <v>62</v>
      </c>
      <c r="AK34" s="18" t="s">
        <v>62</v>
      </c>
      <c r="AL34" s="18" t="s">
        <v>62</v>
      </c>
      <c r="AM34" s="18" t="s">
        <v>62</v>
      </c>
      <c r="AN34" s="18" t="s">
        <v>62</v>
      </c>
      <c r="AO34" s="18" t="s">
        <v>62</v>
      </c>
      <c r="AP34" s="18" t="s">
        <v>62</v>
      </c>
      <c r="AQ34" s="18" t="s">
        <v>62</v>
      </c>
      <c r="AR34" s="18" t="s">
        <v>62</v>
      </c>
      <c r="AS34" s="18" t="s">
        <v>62</v>
      </c>
      <c r="AT34" s="18" t="s">
        <v>62</v>
      </c>
      <c r="AU34" s="18" t="s">
        <v>62</v>
      </c>
      <c r="AV34" s="18" t="s">
        <v>62</v>
      </c>
      <c r="AW34" s="18" t="s">
        <v>62</v>
      </c>
      <c r="AX34" s="18" t="s">
        <v>62</v>
      </c>
    </row>
    <row r="35" customHeight="1" spans="1:50">
      <c r="A35" s="17"/>
      <c r="B35" s="18" t="s">
        <v>62</v>
      </c>
      <c r="C35" s="18" t="s">
        <v>62</v>
      </c>
      <c r="D35" s="18" t="s">
        <v>62</v>
      </c>
      <c r="E35" s="18" t="s">
        <v>62</v>
      </c>
      <c r="F35" s="18" t="s">
        <v>62</v>
      </c>
      <c r="G35" s="18" t="s">
        <v>62</v>
      </c>
      <c r="H35" s="18" t="s">
        <v>62</v>
      </c>
      <c r="I35" s="18" t="s">
        <v>62</v>
      </c>
      <c r="J35" s="18" t="s">
        <v>62</v>
      </c>
      <c r="K35" s="18" t="s">
        <v>62</v>
      </c>
      <c r="L35" s="33"/>
      <c r="M35" s="48" t="s">
        <v>90</v>
      </c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0"/>
      <c r="AC35" s="50"/>
      <c r="AD35" s="18" t="s">
        <v>62</v>
      </c>
      <c r="AE35" s="18" t="s">
        <v>62</v>
      </c>
      <c r="AF35" s="18" t="s">
        <v>62</v>
      </c>
      <c r="AG35" s="18" t="s">
        <v>62</v>
      </c>
      <c r="AH35" s="18" t="s">
        <v>62</v>
      </c>
      <c r="AI35" s="18" t="s">
        <v>62</v>
      </c>
      <c r="AJ35" s="18" t="s">
        <v>62</v>
      </c>
      <c r="AK35" s="18" t="s">
        <v>62</v>
      </c>
      <c r="AL35" s="18" t="s">
        <v>62</v>
      </c>
      <c r="AM35" s="18" t="s">
        <v>62</v>
      </c>
      <c r="AN35" s="18" t="s">
        <v>62</v>
      </c>
      <c r="AO35" s="18" t="s">
        <v>62</v>
      </c>
      <c r="AP35" s="18" t="s">
        <v>62</v>
      </c>
      <c r="AQ35" s="18" t="s">
        <v>62</v>
      </c>
      <c r="AR35" s="18" t="s">
        <v>62</v>
      </c>
      <c r="AS35" s="18" t="s">
        <v>62</v>
      </c>
      <c r="AT35" s="18" t="s">
        <v>62</v>
      </c>
      <c r="AU35" s="18" t="s">
        <v>62</v>
      </c>
      <c r="AV35" s="18" t="s">
        <v>62</v>
      </c>
      <c r="AW35" s="18" t="s">
        <v>62</v>
      </c>
      <c r="AX35" s="18" t="s">
        <v>62</v>
      </c>
    </row>
    <row r="36" customHeight="1" spans="1:50">
      <c r="A36" s="17"/>
      <c r="B36" s="18" t="s">
        <v>62</v>
      </c>
      <c r="C36" s="18" t="s">
        <v>62</v>
      </c>
      <c r="D36" s="18" t="s">
        <v>62</v>
      </c>
      <c r="E36" s="18" t="s">
        <v>62</v>
      </c>
      <c r="F36" s="18" t="s">
        <v>62</v>
      </c>
      <c r="G36" s="18" t="s">
        <v>62</v>
      </c>
      <c r="H36" s="18" t="s">
        <v>62</v>
      </c>
      <c r="I36" s="18" t="s">
        <v>62</v>
      </c>
      <c r="J36" s="18" t="s">
        <v>62</v>
      </c>
      <c r="K36" s="18" t="s">
        <v>62</v>
      </c>
      <c r="L36" s="33"/>
      <c r="M36" s="48" t="s">
        <v>91</v>
      </c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0"/>
      <c r="AC36" s="50"/>
      <c r="AD36" s="18" t="s">
        <v>62</v>
      </c>
      <c r="AE36" s="18" t="s">
        <v>62</v>
      </c>
      <c r="AF36" s="18" t="s">
        <v>62</v>
      </c>
      <c r="AG36" s="18" t="s">
        <v>62</v>
      </c>
      <c r="AH36" s="18" t="s">
        <v>62</v>
      </c>
      <c r="AI36" s="18" t="s">
        <v>62</v>
      </c>
      <c r="AJ36" s="18" t="s">
        <v>62</v>
      </c>
      <c r="AK36" s="18" t="s">
        <v>62</v>
      </c>
      <c r="AL36" s="18" t="s">
        <v>62</v>
      </c>
      <c r="AM36" s="18" t="s">
        <v>62</v>
      </c>
      <c r="AN36" s="18" t="s">
        <v>62</v>
      </c>
      <c r="AO36" s="18" t="s">
        <v>62</v>
      </c>
      <c r="AP36" s="18" t="s">
        <v>62</v>
      </c>
      <c r="AQ36" s="18" t="s">
        <v>62</v>
      </c>
      <c r="AR36" s="18" t="s">
        <v>62</v>
      </c>
      <c r="AS36" s="18" t="s">
        <v>62</v>
      </c>
      <c r="AT36" s="18" t="s">
        <v>62</v>
      </c>
      <c r="AU36" s="18" t="s">
        <v>62</v>
      </c>
      <c r="AV36" s="18" t="s">
        <v>62</v>
      </c>
      <c r="AW36" s="18" t="s">
        <v>62</v>
      </c>
      <c r="AX36" s="18" t="s">
        <v>62</v>
      </c>
    </row>
    <row r="37" customHeight="1" spans="1:50">
      <c r="A37" s="17"/>
      <c r="B37" s="18" t="s">
        <v>62</v>
      </c>
      <c r="C37" s="18" t="s">
        <v>62</v>
      </c>
      <c r="D37" s="18" t="s">
        <v>62</v>
      </c>
      <c r="E37" s="18" t="s">
        <v>62</v>
      </c>
      <c r="F37" s="18" t="s">
        <v>62</v>
      </c>
      <c r="G37" s="18" t="s">
        <v>62</v>
      </c>
      <c r="H37" s="18" t="s">
        <v>62</v>
      </c>
      <c r="I37" s="18" t="s">
        <v>62</v>
      </c>
      <c r="J37" s="18" t="s">
        <v>62</v>
      </c>
      <c r="K37" s="18" t="s">
        <v>62</v>
      </c>
      <c r="L37" s="33"/>
      <c r="M37" s="48" t="s">
        <v>92</v>
      </c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  <c r="AA37" s="50"/>
      <c r="AB37" s="50"/>
      <c r="AC37" s="50"/>
      <c r="AD37" s="18" t="s">
        <v>62</v>
      </c>
      <c r="AE37" s="18" t="s">
        <v>62</v>
      </c>
      <c r="AF37" s="18" t="s">
        <v>62</v>
      </c>
      <c r="AG37" s="18" t="s">
        <v>62</v>
      </c>
      <c r="AH37" s="18" t="s">
        <v>62</v>
      </c>
      <c r="AI37" s="18" t="s">
        <v>62</v>
      </c>
      <c r="AJ37" s="18" t="s">
        <v>62</v>
      </c>
      <c r="AK37" s="18" t="s">
        <v>62</v>
      </c>
      <c r="AL37" s="18" t="s">
        <v>62</v>
      </c>
      <c r="AM37" s="18" t="s">
        <v>62</v>
      </c>
      <c r="AN37" s="18" t="s">
        <v>62</v>
      </c>
      <c r="AO37" s="18" t="s">
        <v>62</v>
      </c>
      <c r="AP37" s="18" t="s">
        <v>62</v>
      </c>
      <c r="AQ37" s="18" t="s">
        <v>62</v>
      </c>
      <c r="AR37" s="18" t="s">
        <v>62</v>
      </c>
      <c r="AS37" s="18" t="s">
        <v>62</v>
      </c>
      <c r="AT37" s="18" t="s">
        <v>62</v>
      </c>
      <c r="AU37" s="18" t="s">
        <v>62</v>
      </c>
      <c r="AV37" s="18" t="s">
        <v>62</v>
      </c>
      <c r="AW37" s="18" t="s">
        <v>62</v>
      </c>
      <c r="AX37" s="18" t="s">
        <v>62</v>
      </c>
    </row>
    <row r="38" customHeight="1" spans="1:50">
      <c r="A38" s="17"/>
      <c r="B38" s="18" t="s">
        <v>62</v>
      </c>
      <c r="C38" s="18" t="s">
        <v>62</v>
      </c>
      <c r="D38" s="18" t="s">
        <v>62</v>
      </c>
      <c r="E38" s="18" t="s">
        <v>62</v>
      </c>
      <c r="F38" s="18" t="s">
        <v>62</v>
      </c>
      <c r="G38" s="18" t="s">
        <v>62</v>
      </c>
      <c r="H38" s="18" t="s">
        <v>62</v>
      </c>
      <c r="I38" s="18" t="s">
        <v>62</v>
      </c>
      <c r="J38" s="18" t="s">
        <v>62</v>
      </c>
      <c r="K38" s="18" t="s">
        <v>62</v>
      </c>
      <c r="L38" s="33"/>
      <c r="M38" s="48" t="s">
        <v>93</v>
      </c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18" t="s">
        <v>62</v>
      </c>
      <c r="AE38" s="18" t="s">
        <v>62</v>
      </c>
      <c r="AF38" s="18" t="s">
        <v>62</v>
      </c>
      <c r="AG38" s="18" t="s">
        <v>62</v>
      </c>
      <c r="AH38" s="18" t="s">
        <v>62</v>
      </c>
      <c r="AI38" s="18" t="s">
        <v>62</v>
      </c>
      <c r="AJ38" s="18" t="s">
        <v>62</v>
      </c>
      <c r="AK38" s="18" t="s">
        <v>62</v>
      </c>
      <c r="AL38" s="18" t="s">
        <v>62</v>
      </c>
      <c r="AM38" s="18" t="s">
        <v>62</v>
      </c>
      <c r="AN38" s="18" t="s">
        <v>62</v>
      </c>
      <c r="AO38" s="18" t="s">
        <v>62</v>
      </c>
      <c r="AP38" s="18" t="s">
        <v>62</v>
      </c>
      <c r="AQ38" s="18" t="s">
        <v>62</v>
      </c>
      <c r="AR38" s="18" t="s">
        <v>62</v>
      </c>
      <c r="AS38" s="18" t="s">
        <v>62</v>
      </c>
      <c r="AT38" s="18" t="s">
        <v>62</v>
      </c>
      <c r="AU38" s="18" t="s">
        <v>62</v>
      </c>
      <c r="AV38" s="18" t="s">
        <v>62</v>
      </c>
      <c r="AW38" s="18" t="s">
        <v>62</v>
      </c>
      <c r="AX38" s="18" t="s">
        <v>62</v>
      </c>
    </row>
    <row r="39" customHeight="1" spans="1:50">
      <c r="A39" s="19"/>
      <c r="B39" s="18" t="s">
        <v>62</v>
      </c>
      <c r="C39" s="18" t="s">
        <v>62</v>
      </c>
      <c r="D39" s="18" t="s">
        <v>62</v>
      </c>
      <c r="E39" s="18" t="s">
        <v>62</v>
      </c>
      <c r="F39" s="18" t="s">
        <v>62</v>
      </c>
      <c r="G39" s="18" t="s">
        <v>62</v>
      </c>
      <c r="H39" s="18" t="s">
        <v>62</v>
      </c>
      <c r="I39" s="18" t="s">
        <v>62</v>
      </c>
      <c r="J39" s="18" t="s">
        <v>62</v>
      </c>
      <c r="K39" s="18" t="s">
        <v>62</v>
      </c>
      <c r="L39" s="33"/>
      <c r="M39" s="48" t="s">
        <v>94</v>
      </c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  <c r="AA39" s="50"/>
      <c r="AB39" s="50"/>
      <c r="AC39" s="50"/>
      <c r="AD39" s="18" t="s">
        <v>62</v>
      </c>
      <c r="AE39" s="18" t="s">
        <v>62</v>
      </c>
      <c r="AF39" s="18" t="s">
        <v>62</v>
      </c>
      <c r="AG39" s="18" t="s">
        <v>62</v>
      </c>
      <c r="AH39" s="18" t="s">
        <v>62</v>
      </c>
      <c r="AI39" s="18" t="s">
        <v>62</v>
      </c>
      <c r="AJ39" s="18" t="s">
        <v>62</v>
      </c>
      <c r="AK39" s="18" t="s">
        <v>62</v>
      </c>
      <c r="AL39" s="18" t="s">
        <v>62</v>
      </c>
      <c r="AM39" s="18" t="s">
        <v>62</v>
      </c>
      <c r="AN39" s="18" t="s">
        <v>62</v>
      </c>
      <c r="AO39" s="18" t="s">
        <v>62</v>
      </c>
      <c r="AP39" s="18" t="s">
        <v>62</v>
      </c>
      <c r="AQ39" s="18" t="s">
        <v>62</v>
      </c>
      <c r="AR39" s="18" t="s">
        <v>62</v>
      </c>
      <c r="AS39" s="18" t="s">
        <v>62</v>
      </c>
      <c r="AT39" s="18" t="s">
        <v>62</v>
      </c>
      <c r="AU39" s="18" t="s">
        <v>62</v>
      </c>
      <c r="AV39" s="18" t="s">
        <v>62</v>
      </c>
      <c r="AW39" s="18" t="s">
        <v>62</v>
      </c>
      <c r="AX39" s="18" t="s">
        <v>62</v>
      </c>
    </row>
  </sheetData>
  <mergeCells count="52">
    <mergeCell ref="A2:AX2"/>
    <mergeCell ref="A3:AX3"/>
    <mergeCell ref="A4:AX4"/>
    <mergeCell ref="B5:K5"/>
    <mergeCell ref="L5:W5"/>
    <mergeCell ref="AD5:AX5"/>
    <mergeCell ref="AD6:AE6"/>
    <mergeCell ref="AF6:AP6"/>
    <mergeCell ref="AQ6:AR6"/>
    <mergeCell ref="AS6:AT6"/>
    <mergeCell ref="AU6:AV6"/>
    <mergeCell ref="AW6:AX6"/>
    <mergeCell ref="AI7:AK7"/>
    <mergeCell ref="AL7:AP7"/>
    <mergeCell ref="A5:A8"/>
    <mergeCell ref="A9:A39"/>
    <mergeCell ref="B6:B8"/>
    <mergeCell ref="C6:C8"/>
    <mergeCell ref="D6:D8"/>
    <mergeCell ref="E6:E8"/>
    <mergeCell ref="F6:F8"/>
    <mergeCell ref="G6:G8"/>
    <mergeCell ref="H6:H8"/>
    <mergeCell ref="I6:I8"/>
    <mergeCell ref="J6:J8"/>
    <mergeCell ref="K6:K8"/>
    <mergeCell ref="L6:L8"/>
    <mergeCell ref="L9:L22"/>
    <mergeCell ref="L23:L28"/>
    <mergeCell ref="L29:L32"/>
    <mergeCell ref="L33:L39"/>
    <mergeCell ref="M6:M8"/>
    <mergeCell ref="N6:N8"/>
    <mergeCell ref="S6:S8"/>
    <mergeCell ref="T6:T8"/>
    <mergeCell ref="U6:U8"/>
    <mergeCell ref="V6:V8"/>
    <mergeCell ref="W6:W8"/>
    <mergeCell ref="AD7:AD8"/>
    <mergeCell ref="AE7:AE8"/>
    <mergeCell ref="AF7:AF8"/>
    <mergeCell ref="AG7:AG8"/>
    <mergeCell ref="AH7:AH8"/>
    <mergeCell ref="AQ7:AQ8"/>
    <mergeCell ref="AR7:AR8"/>
    <mergeCell ref="AS7:AS8"/>
    <mergeCell ref="AT7:AT8"/>
    <mergeCell ref="AU7:AU8"/>
    <mergeCell ref="AV7:AV8"/>
    <mergeCell ref="AW7:AW8"/>
    <mergeCell ref="AX7:AX8"/>
    <mergeCell ref="O6:R7"/>
  </mergeCells>
  <dataValidations count="2">
    <dataValidation type="list" allowBlank="1" showInputMessage="1" showErrorMessage="1" sqref="B9">
      <formula1>"新建型,改造升级型,租赁型"</formula1>
    </dataValidation>
    <dataValidation allowBlank="1" showInputMessage="1" showErrorMessage="1" sqref="B2:B4 B6:B7 B40:B1048576"/>
  </dataValidations>
  <pageMargins left="0.7" right="0.7" top="0.75" bottom="0.75" header="0.3" footer="0.3"/>
  <pageSetup paperSize="9" scale="34" fitToHeight="0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Shawn</cp:lastModifiedBy>
  <dcterms:created xsi:type="dcterms:W3CDTF">2023-05-21T03:15:00Z</dcterms:created>
  <dcterms:modified xsi:type="dcterms:W3CDTF">2025-09-04T14:32:24Z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2052-12.1.21861.21861</vt:lpwstr>
  </property>
  <property fmtid="{D5CDD505-2E9C-101B-9397-08002B2CF9AE}" pid="3" name="ICV">
    <vt:lpwstr>13C6C9CEB92AFC8F7832B9686497E02F_43</vt:lpwstr>
  </property>
</Properties>
</file>